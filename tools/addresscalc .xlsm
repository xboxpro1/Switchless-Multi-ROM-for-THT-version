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cbm-multirom\tools\"/>
    </mc:Choice>
  </mc:AlternateContent>
  <xr:revisionPtr revIDLastSave="0" documentId="13_ncr:1_{765C1F38-A015-4468-9263-A39BDD36009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ultiro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" i="1" l="1"/>
  <c r="G65" i="1" s="1"/>
  <c r="C65" i="1"/>
  <c r="J65" i="1" s="1"/>
  <c r="D65" i="1"/>
  <c r="N65" i="1" s="1"/>
  <c r="E65" i="1"/>
  <c r="T65" i="1" s="1"/>
  <c r="F65" i="1"/>
  <c r="V65" i="1" s="1"/>
  <c r="H65" i="1"/>
  <c r="I65" i="1"/>
  <c r="O65" i="1"/>
  <c r="R65" i="1"/>
  <c r="S65" i="1"/>
  <c r="U65" i="1"/>
  <c r="B66" i="1"/>
  <c r="G66" i="1" s="1"/>
  <c r="C66" i="1"/>
  <c r="J66" i="1" s="1"/>
  <c r="D66" i="1"/>
  <c r="Q66" i="1" s="1"/>
  <c r="E66" i="1"/>
  <c r="F66" i="1"/>
  <c r="V66" i="1" s="1"/>
  <c r="N66" i="1"/>
  <c r="O66" i="1"/>
  <c r="P66" i="1"/>
  <c r="R66" i="1"/>
  <c r="S66" i="1"/>
  <c r="T66" i="1"/>
  <c r="U66" i="1"/>
  <c r="B67" i="1"/>
  <c r="G67" i="1" s="1"/>
  <c r="C67" i="1"/>
  <c r="J67" i="1" s="1"/>
  <c r="D67" i="1"/>
  <c r="N67" i="1" s="1"/>
  <c r="E67" i="1"/>
  <c r="S67" i="1" s="1"/>
  <c r="F67" i="1"/>
  <c r="V67" i="1" s="1"/>
  <c r="H67" i="1"/>
  <c r="I67" i="1"/>
  <c r="O67" i="1"/>
  <c r="B68" i="1"/>
  <c r="G68" i="1" s="1"/>
  <c r="C68" i="1"/>
  <c r="J68" i="1" s="1"/>
  <c r="D68" i="1"/>
  <c r="Q68" i="1" s="1"/>
  <c r="E68" i="1"/>
  <c r="U68" i="1" s="1"/>
  <c r="F68" i="1"/>
  <c r="V68" i="1" s="1"/>
  <c r="B61" i="1"/>
  <c r="G61" i="1" s="1"/>
  <c r="C61" i="1"/>
  <c r="K61" i="1" s="1"/>
  <c r="D61" i="1"/>
  <c r="Q61" i="1" s="1"/>
  <c r="E61" i="1"/>
  <c r="S61" i="1" s="1"/>
  <c r="F61" i="1"/>
  <c r="W61" i="1" s="1"/>
  <c r="J61" i="1"/>
  <c r="O61" i="1"/>
  <c r="P61" i="1"/>
  <c r="T61" i="1"/>
  <c r="U61" i="1"/>
  <c r="B62" i="1"/>
  <c r="G62" i="1" s="1"/>
  <c r="C62" i="1"/>
  <c r="K62" i="1" s="1"/>
  <c r="D62" i="1"/>
  <c r="Q62" i="1" s="1"/>
  <c r="E62" i="1"/>
  <c r="S62" i="1" s="1"/>
  <c r="F62" i="1"/>
  <c r="W62" i="1" s="1"/>
  <c r="J62" i="1"/>
  <c r="O62" i="1"/>
  <c r="X62" i="1"/>
  <c r="B63" i="1"/>
  <c r="G63" i="1" s="1"/>
  <c r="C63" i="1"/>
  <c r="K63" i="1" s="1"/>
  <c r="D63" i="1"/>
  <c r="O63" i="1" s="1"/>
  <c r="E63" i="1"/>
  <c r="S63" i="1" s="1"/>
  <c r="F63" i="1"/>
  <c r="W63" i="1" s="1"/>
  <c r="H63" i="1"/>
  <c r="I63" i="1"/>
  <c r="V63" i="1"/>
  <c r="X63" i="1"/>
  <c r="B64" i="1"/>
  <c r="G64" i="1" s="1"/>
  <c r="C64" i="1"/>
  <c r="K64" i="1" s="1"/>
  <c r="D64" i="1"/>
  <c r="N64" i="1" s="1"/>
  <c r="E64" i="1"/>
  <c r="S64" i="1" s="1"/>
  <c r="F64" i="1"/>
  <c r="W64" i="1" s="1"/>
  <c r="I64" i="1"/>
  <c r="L64" i="1"/>
  <c r="V64" i="1"/>
  <c r="B57" i="1"/>
  <c r="H57" i="1" s="1"/>
  <c r="C57" i="1"/>
  <c r="J57" i="1" s="1"/>
  <c r="D57" i="1"/>
  <c r="P57" i="1" s="1"/>
  <c r="E57" i="1"/>
  <c r="S57" i="1" s="1"/>
  <c r="F57" i="1"/>
  <c r="V57" i="1" s="1"/>
  <c r="L57" i="1"/>
  <c r="N57" i="1"/>
  <c r="O57" i="1"/>
  <c r="Q57" i="1"/>
  <c r="U57" i="1"/>
  <c r="B58" i="1"/>
  <c r="G58" i="1" s="1"/>
  <c r="C58" i="1"/>
  <c r="J58" i="1" s="1"/>
  <c r="D58" i="1"/>
  <c r="N58" i="1" s="1"/>
  <c r="E58" i="1"/>
  <c r="S58" i="1" s="1"/>
  <c r="F58" i="1"/>
  <c r="V58" i="1" s="1"/>
  <c r="I58" i="1"/>
  <c r="O58" i="1"/>
  <c r="P58" i="1"/>
  <c r="Q58" i="1"/>
  <c r="B59" i="1"/>
  <c r="G59" i="1" s="1"/>
  <c r="C59" i="1"/>
  <c r="J59" i="1" s="1"/>
  <c r="D59" i="1"/>
  <c r="Q59" i="1" s="1"/>
  <c r="E59" i="1"/>
  <c r="S59" i="1" s="1"/>
  <c r="F59" i="1"/>
  <c r="V59" i="1" s="1"/>
  <c r="U59" i="1"/>
  <c r="B60" i="1"/>
  <c r="G60" i="1" s="1"/>
  <c r="C60" i="1"/>
  <c r="J60" i="1" s="1"/>
  <c r="D60" i="1"/>
  <c r="N60" i="1" s="1"/>
  <c r="E60" i="1"/>
  <c r="S60" i="1" s="1"/>
  <c r="F60" i="1"/>
  <c r="V60" i="1" s="1"/>
  <c r="O60" i="1"/>
  <c r="P60" i="1"/>
  <c r="Q60" i="1"/>
  <c r="B53" i="1"/>
  <c r="C53" i="1"/>
  <c r="J53" i="1" s="1"/>
  <c r="D53" i="1"/>
  <c r="N53" i="1" s="1"/>
  <c r="E53" i="1"/>
  <c r="T53" i="1" s="1"/>
  <c r="F53" i="1"/>
  <c r="V53" i="1" s="1"/>
  <c r="G53" i="1"/>
  <c r="H53" i="1"/>
  <c r="I53" i="1"/>
  <c r="B54" i="1"/>
  <c r="G54" i="1" s="1"/>
  <c r="C54" i="1"/>
  <c r="J54" i="1" s="1"/>
  <c r="D54" i="1"/>
  <c r="O54" i="1" s="1"/>
  <c r="E54" i="1"/>
  <c r="T54" i="1" s="1"/>
  <c r="F54" i="1"/>
  <c r="V54" i="1" s="1"/>
  <c r="L54" i="1"/>
  <c r="N54" i="1"/>
  <c r="B55" i="1"/>
  <c r="G55" i="1" s="1"/>
  <c r="C55" i="1"/>
  <c r="J55" i="1" s="1"/>
  <c r="D55" i="1"/>
  <c r="Q55" i="1" s="1"/>
  <c r="E55" i="1"/>
  <c r="T55" i="1" s="1"/>
  <c r="F55" i="1"/>
  <c r="W55" i="1" s="1"/>
  <c r="K55" i="1"/>
  <c r="O55" i="1"/>
  <c r="B56" i="1"/>
  <c r="G56" i="1" s="1"/>
  <c r="C56" i="1"/>
  <c r="J56" i="1" s="1"/>
  <c r="D56" i="1"/>
  <c r="O56" i="1" s="1"/>
  <c r="E56" i="1"/>
  <c r="T56" i="1" s="1"/>
  <c r="F56" i="1"/>
  <c r="V56" i="1" s="1"/>
  <c r="K56" i="1"/>
  <c r="B49" i="1"/>
  <c r="G49" i="1" s="1"/>
  <c r="C49" i="1"/>
  <c r="K49" i="1" s="1"/>
  <c r="D49" i="1"/>
  <c r="N49" i="1" s="1"/>
  <c r="E49" i="1"/>
  <c r="S49" i="1" s="1"/>
  <c r="F49" i="1"/>
  <c r="W49" i="1" s="1"/>
  <c r="J49" i="1"/>
  <c r="T49" i="1"/>
  <c r="B50" i="1"/>
  <c r="H50" i="1" s="1"/>
  <c r="C50" i="1"/>
  <c r="K50" i="1" s="1"/>
  <c r="D50" i="1"/>
  <c r="N50" i="1" s="1"/>
  <c r="E50" i="1"/>
  <c r="S50" i="1" s="1"/>
  <c r="F50" i="1"/>
  <c r="W50" i="1" s="1"/>
  <c r="J50" i="1"/>
  <c r="P50" i="1"/>
  <c r="U50" i="1"/>
  <c r="B51" i="1"/>
  <c r="G51" i="1" s="1"/>
  <c r="C51" i="1"/>
  <c r="K51" i="1" s="1"/>
  <c r="D51" i="1"/>
  <c r="O51" i="1" s="1"/>
  <c r="E51" i="1"/>
  <c r="S51" i="1" s="1"/>
  <c r="F51" i="1"/>
  <c r="W51" i="1" s="1"/>
  <c r="I51" i="1"/>
  <c r="L51" i="1"/>
  <c r="V51" i="1"/>
  <c r="X51" i="1"/>
  <c r="B52" i="1"/>
  <c r="G52" i="1" s="1"/>
  <c r="C52" i="1"/>
  <c r="K52" i="1" s="1"/>
  <c r="D52" i="1"/>
  <c r="Q52" i="1" s="1"/>
  <c r="E52" i="1"/>
  <c r="S52" i="1" s="1"/>
  <c r="F52" i="1"/>
  <c r="X52" i="1" s="1"/>
  <c r="I52" i="1"/>
  <c r="P52" i="1"/>
  <c r="B45" i="1"/>
  <c r="I45" i="1" s="1"/>
  <c r="C45" i="1"/>
  <c r="K45" i="1" s="1"/>
  <c r="D45" i="1"/>
  <c r="O45" i="1" s="1"/>
  <c r="E45" i="1"/>
  <c r="U45" i="1" s="1"/>
  <c r="F45" i="1"/>
  <c r="V45" i="1" s="1"/>
  <c r="J45" i="1"/>
  <c r="L45" i="1"/>
  <c r="S45" i="1"/>
  <c r="B46" i="1"/>
  <c r="G46" i="1" s="1"/>
  <c r="C46" i="1"/>
  <c r="L46" i="1" s="1"/>
  <c r="D46" i="1"/>
  <c r="N46" i="1" s="1"/>
  <c r="E46" i="1"/>
  <c r="T46" i="1" s="1"/>
  <c r="F46" i="1"/>
  <c r="Y46" i="1" s="1"/>
  <c r="B47" i="1"/>
  <c r="G47" i="1" s="1"/>
  <c r="C47" i="1"/>
  <c r="M47" i="1" s="1"/>
  <c r="D47" i="1"/>
  <c r="N47" i="1" s="1"/>
  <c r="E47" i="1"/>
  <c r="T47" i="1" s="1"/>
  <c r="F47" i="1"/>
  <c r="Y47" i="1" s="1"/>
  <c r="J47" i="1"/>
  <c r="B48" i="1"/>
  <c r="G48" i="1" s="1"/>
  <c r="C48" i="1"/>
  <c r="M48" i="1" s="1"/>
  <c r="D48" i="1"/>
  <c r="N48" i="1" s="1"/>
  <c r="E48" i="1"/>
  <c r="T48" i="1" s="1"/>
  <c r="F48" i="1"/>
  <c r="Y48" i="1" s="1"/>
  <c r="V48" i="1"/>
  <c r="W48" i="1"/>
  <c r="X48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B29" i="1"/>
  <c r="C29" i="1"/>
  <c r="D29" i="1"/>
  <c r="E29" i="1"/>
  <c r="F29" i="1"/>
  <c r="B30" i="1"/>
  <c r="C30" i="1"/>
  <c r="D30" i="1"/>
  <c r="E30" i="1"/>
  <c r="F30" i="1"/>
  <c r="B31" i="1"/>
  <c r="C31" i="1"/>
  <c r="D31" i="1"/>
  <c r="E31" i="1"/>
  <c r="F31" i="1"/>
  <c r="B32" i="1"/>
  <c r="C32" i="1"/>
  <c r="D32" i="1"/>
  <c r="E32" i="1"/>
  <c r="F32" i="1"/>
  <c r="B33" i="1"/>
  <c r="C33" i="1"/>
  <c r="D33" i="1"/>
  <c r="E33" i="1"/>
  <c r="F33" i="1"/>
  <c r="B34" i="1"/>
  <c r="C34" i="1"/>
  <c r="D34" i="1"/>
  <c r="E34" i="1"/>
  <c r="F34" i="1"/>
  <c r="B35" i="1"/>
  <c r="C35" i="1"/>
  <c r="D35" i="1"/>
  <c r="E35" i="1"/>
  <c r="F35" i="1"/>
  <c r="B36" i="1"/>
  <c r="C36" i="1"/>
  <c r="D36" i="1"/>
  <c r="E36" i="1"/>
  <c r="F36" i="1"/>
  <c r="B37" i="1"/>
  <c r="C37" i="1"/>
  <c r="D37" i="1"/>
  <c r="E37" i="1"/>
  <c r="F37" i="1"/>
  <c r="B38" i="1"/>
  <c r="C38" i="1"/>
  <c r="D38" i="1"/>
  <c r="E38" i="1"/>
  <c r="F38" i="1"/>
  <c r="B39" i="1"/>
  <c r="C39" i="1"/>
  <c r="D39" i="1"/>
  <c r="E39" i="1"/>
  <c r="F39" i="1"/>
  <c r="B40" i="1"/>
  <c r="C40" i="1"/>
  <c r="D40" i="1"/>
  <c r="E40" i="1"/>
  <c r="F40" i="1"/>
  <c r="B41" i="1"/>
  <c r="C41" i="1"/>
  <c r="D41" i="1"/>
  <c r="E41" i="1"/>
  <c r="F41" i="1"/>
  <c r="B42" i="1"/>
  <c r="C42" i="1"/>
  <c r="D42" i="1"/>
  <c r="E42" i="1"/>
  <c r="F42" i="1"/>
  <c r="B43" i="1"/>
  <c r="C43" i="1"/>
  <c r="D43" i="1"/>
  <c r="E43" i="1"/>
  <c r="F43" i="1"/>
  <c r="B44" i="1"/>
  <c r="C44" i="1"/>
  <c r="D44" i="1"/>
  <c r="E44" i="1"/>
  <c r="F44" i="1"/>
  <c r="B5" i="1"/>
  <c r="C5" i="1"/>
  <c r="D5" i="1"/>
  <c r="E5" i="1"/>
  <c r="F5" i="1"/>
  <c r="J48" i="1" l="1"/>
  <c r="V47" i="1"/>
  <c r="Q48" i="1"/>
  <c r="K47" i="1"/>
  <c r="X46" i="1"/>
  <c r="T45" i="1"/>
  <c r="J51" i="1"/>
  <c r="R50" i="1"/>
  <c r="L49" i="1"/>
  <c r="L56" i="1"/>
  <c r="P55" i="1"/>
  <c r="P54" i="1"/>
  <c r="P53" i="1"/>
  <c r="P59" i="1"/>
  <c r="T57" i="1"/>
  <c r="L48" i="1"/>
  <c r="X47" i="1"/>
  <c r="V46" i="1"/>
  <c r="X49" i="1"/>
  <c r="U60" i="1"/>
  <c r="R57" i="1"/>
  <c r="P63" i="1"/>
  <c r="K48" i="1"/>
  <c r="W47" i="1"/>
  <c r="I47" i="1"/>
  <c r="I46" i="1"/>
  <c r="Q45" i="1"/>
  <c r="L50" i="1"/>
  <c r="V49" i="1"/>
  <c r="I49" i="1"/>
  <c r="I56" i="1"/>
  <c r="T60" i="1"/>
  <c r="V62" i="1"/>
  <c r="U52" i="1"/>
  <c r="X54" i="1"/>
  <c r="M45" i="1"/>
  <c r="O49" i="1"/>
  <c r="N56" i="1"/>
  <c r="L53" i="1"/>
  <c r="T58" i="1"/>
  <c r="Q67" i="1"/>
  <c r="Q65" i="1"/>
  <c r="U51" i="1"/>
  <c r="W46" i="1"/>
  <c r="R45" i="1"/>
  <c r="U49" i="1"/>
  <c r="N55" i="1"/>
  <c r="I54" i="1"/>
  <c r="Q53" i="1"/>
  <c r="X59" i="1"/>
  <c r="I57" i="1"/>
  <c r="X64" i="1"/>
  <c r="L62" i="1"/>
  <c r="I61" i="1"/>
  <c r="P67" i="1"/>
  <c r="I66" i="1"/>
  <c r="X65" i="1"/>
  <c r="P65" i="1"/>
  <c r="J63" i="1"/>
  <c r="L47" i="1"/>
  <c r="Q46" i="1"/>
  <c r="P45" i="1"/>
  <c r="T52" i="1"/>
  <c r="R51" i="1"/>
  <c r="O50" i="1"/>
  <c r="R49" i="1"/>
  <c r="H49" i="1"/>
  <c r="X56" i="1"/>
  <c r="H56" i="1"/>
  <c r="R55" i="1"/>
  <c r="Q54" i="1"/>
  <c r="O53" i="1"/>
  <c r="R59" i="1"/>
  <c r="R64" i="1"/>
  <c r="P46" i="1"/>
  <c r="N45" i="1"/>
  <c r="R52" i="1"/>
  <c r="P49" i="1"/>
  <c r="P56" i="1"/>
  <c r="U58" i="1"/>
  <c r="X57" i="1"/>
  <c r="H68" i="1"/>
  <c r="I68" i="1"/>
  <c r="S68" i="1"/>
  <c r="P68" i="1"/>
  <c r="O68" i="1"/>
  <c r="X68" i="1"/>
  <c r="T68" i="1"/>
  <c r="R68" i="1"/>
  <c r="N68" i="1"/>
  <c r="R67" i="1"/>
  <c r="U67" i="1"/>
  <c r="T67" i="1"/>
  <c r="X67" i="1"/>
  <c r="H66" i="1"/>
  <c r="X66" i="1"/>
  <c r="Y68" i="1"/>
  <c r="M68" i="1"/>
  <c r="Y67" i="1"/>
  <c r="M67" i="1"/>
  <c r="Y66" i="1"/>
  <c r="M66" i="1"/>
  <c r="Y65" i="1"/>
  <c r="M65" i="1"/>
  <c r="L67" i="1"/>
  <c r="L66" i="1"/>
  <c r="W68" i="1"/>
  <c r="K68" i="1"/>
  <c r="W67" i="1"/>
  <c r="K67" i="1"/>
  <c r="W66" i="1"/>
  <c r="K66" i="1"/>
  <c r="W65" i="1"/>
  <c r="K65" i="1"/>
  <c r="L68" i="1"/>
  <c r="L65" i="1"/>
  <c r="U64" i="1"/>
  <c r="H64" i="1"/>
  <c r="J64" i="1"/>
  <c r="T64" i="1"/>
  <c r="L63" i="1"/>
  <c r="U63" i="1"/>
  <c r="T63" i="1"/>
  <c r="R63" i="1"/>
  <c r="T62" i="1"/>
  <c r="I62" i="1"/>
  <c r="R62" i="1"/>
  <c r="H62" i="1"/>
  <c r="P62" i="1"/>
  <c r="U62" i="1"/>
  <c r="R61" i="1"/>
  <c r="H61" i="1"/>
  <c r="X61" i="1"/>
  <c r="V61" i="1"/>
  <c r="L61" i="1"/>
  <c r="N63" i="1"/>
  <c r="N62" i="1"/>
  <c r="N61" i="1"/>
  <c r="Y64" i="1"/>
  <c r="M64" i="1"/>
  <c r="Y63" i="1"/>
  <c r="M63" i="1"/>
  <c r="Y62" i="1"/>
  <c r="M62" i="1"/>
  <c r="Y61" i="1"/>
  <c r="M61" i="1"/>
  <c r="Q64" i="1"/>
  <c r="Q63" i="1"/>
  <c r="P64" i="1"/>
  <c r="O64" i="1"/>
  <c r="R60" i="1"/>
  <c r="H60" i="1"/>
  <c r="X60" i="1"/>
  <c r="I60" i="1"/>
  <c r="N59" i="1"/>
  <c r="O59" i="1"/>
  <c r="T59" i="1"/>
  <c r="I59" i="1"/>
  <c r="X58" i="1"/>
  <c r="R58" i="1"/>
  <c r="H58" i="1"/>
  <c r="H59" i="1"/>
  <c r="Y60" i="1"/>
  <c r="M60" i="1"/>
  <c r="Y59" i="1"/>
  <c r="M59" i="1"/>
  <c r="Y58" i="1"/>
  <c r="M58" i="1"/>
  <c r="Y57" i="1"/>
  <c r="M57" i="1"/>
  <c r="G57" i="1"/>
  <c r="L60" i="1"/>
  <c r="W60" i="1"/>
  <c r="K60" i="1"/>
  <c r="W59" i="1"/>
  <c r="K59" i="1"/>
  <c r="W58" i="1"/>
  <c r="K58" i="1"/>
  <c r="W57" i="1"/>
  <c r="K57" i="1"/>
  <c r="L59" i="1"/>
  <c r="L58" i="1"/>
  <c r="Q56" i="1"/>
  <c r="R56" i="1"/>
  <c r="I55" i="1"/>
  <c r="H55" i="1"/>
  <c r="X55" i="1"/>
  <c r="L55" i="1"/>
  <c r="R54" i="1"/>
  <c r="K54" i="1"/>
  <c r="H54" i="1"/>
  <c r="R53" i="1"/>
  <c r="K53" i="1"/>
  <c r="W56" i="1"/>
  <c r="W54" i="1"/>
  <c r="U56" i="1"/>
  <c r="U54" i="1"/>
  <c r="Y56" i="1"/>
  <c r="S56" i="1"/>
  <c r="M56" i="1"/>
  <c r="Y55" i="1"/>
  <c r="S55" i="1"/>
  <c r="M55" i="1"/>
  <c r="Y54" i="1"/>
  <c r="S54" i="1"/>
  <c r="M54" i="1"/>
  <c r="Y53" i="1"/>
  <c r="S53" i="1"/>
  <c r="M53" i="1"/>
  <c r="X53" i="1"/>
  <c r="W53" i="1"/>
  <c r="V55" i="1"/>
  <c r="U53" i="1"/>
  <c r="U55" i="1"/>
  <c r="L52" i="1"/>
  <c r="J52" i="1"/>
  <c r="H52" i="1"/>
  <c r="T51" i="1"/>
  <c r="H51" i="1"/>
  <c r="P51" i="1"/>
  <c r="V50" i="1"/>
  <c r="T50" i="1"/>
  <c r="I50" i="1"/>
  <c r="X50" i="1"/>
  <c r="V52" i="1"/>
  <c r="O52" i="1"/>
  <c r="N52" i="1"/>
  <c r="N51" i="1"/>
  <c r="Y52" i="1"/>
  <c r="M52" i="1"/>
  <c r="Y51" i="1"/>
  <c r="M51" i="1"/>
  <c r="Y50" i="1"/>
  <c r="M50" i="1"/>
  <c r="G50" i="1"/>
  <c r="Y49" i="1"/>
  <c r="M49" i="1"/>
  <c r="W52" i="1"/>
  <c r="Q51" i="1"/>
  <c r="Q50" i="1"/>
  <c r="Q49" i="1"/>
  <c r="H48" i="1"/>
  <c r="P48" i="1"/>
  <c r="I48" i="1"/>
  <c r="Q47" i="1"/>
  <c r="H47" i="1"/>
  <c r="P47" i="1"/>
  <c r="K46" i="1"/>
  <c r="H46" i="1"/>
  <c r="J46" i="1"/>
  <c r="X45" i="1"/>
  <c r="H45" i="1"/>
  <c r="U48" i="1"/>
  <c r="O48" i="1"/>
  <c r="S48" i="1"/>
  <c r="S47" i="1"/>
  <c r="S46" i="1"/>
  <c r="M46" i="1"/>
  <c r="Y45" i="1"/>
  <c r="G45" i="1"/>
  <c r="R48" i="1"/>
  <c r="R47" i="1"/>
  <c r="R46" i="1"/>
  <c r="W45" i="1"/>
  <c r="U47" i="1"/>
  <c r="O47" i="1"/>
  <c r="U46" i="1"/>
  <c r="O46" i="1"/>
  <c r="G44" i="1"/>
  <c r="I44" i="1"/>
  <c r="H44" i="1"/>
  <c r="H30" i="1" l="1"/>
  <c r="G30" i="1"/>
  <c r="I30" i="1"/>
  <c r="G18" i="1"/>
  <c r="H18" i="1"/>
  <c r="I18" i="1"/>
  <c r="H6" i="1"/>
  <c r="I6" i="1"/>
  <c r="G6" i="1"/>
  <c r="I43" i="1"/>
  <c r="G43" i="1"/>
  <c r="H43" i="1"/>
  <c r="G13" i="1"/>
  <c r="H13" i="1"/>
  <c r="I13" i="1"/>
  <c r="H7" i="1"/>
  <c r="G7" i="1"/>
  <c r="I7" i="1"/>
  <c r="H39" i="1"/>
  <c r="I39" i="1"/>
  <c r="G39" i="1"/>
  <c r="H33" i="1"/>
  <c r="G33" i="1"/>
  <c r="I33" i="1"/>
  <c r="G21" i="1"/>
  <c r="H21" i="1"/>
  <c r="I21" i="1"/>
  <c r="G15" i="1"/>
  <c r="H15" i="1"/>
  <c r="I15" i="1"/>
  <c r="I40" i="1"/>
  <c r="G40" i="1"/>
  <c r="H40" i="1"/>
  <c r="H34" i="1"/>
  <c r="I34" i="1"/>
  <c r="G34" i="1"/>
  <c r="H28" i="1"/>
  <c r="I28" i="1"/>
  <c r="G28" i="1"/>
  <c r="H22" i="1"/>
  <c r="G22" i="1"/>
  <c r="I22" i="1"/>
  <c r="G16" i="1"/>
  <c r="H16" i="1"/>
  <c r="I16" i="1"/>
  <c r="G10" i="1"/>
  <c r="H10" i="1"/>
  <c r="I10" i="1"/>
  <c r="G41" i="1"/>
  <c r="I41" i="1"/>
  <c r="H41" i="1"/>
  <c r="I35" i="1"/>
  <c r="G35" i="1"/>
  <c r="H35" i="1"/>
  <c r="G29" i="1"/>
  <c r="I29" i="1"/>
  <c r="H29" i="1"/>
  <c r="G23" i="1"/>
  <c r="I23" i="1"/>
  <c r="H23" i="1"/>
  <c r="G17" i="1"/>
  <c r="I17" i="1"/>
  <c r="H17" i="1"/>
  <c r="I11" i="1"/>
  <c r="G11" i="1"/>
  <c r="H11" i="1"/>
  <c r="H24" i="1"/>
  <c r="G24" i="1"/>
  <c r="I24" i="1"/>
  <c r="I5" i="1"/>
  <c r="H5" i="1"/>
  <c r="G5" i="1"/>
  <c r="H31" i="1"/>
  <c r="I31" i="1"/>
  <c r="G31" i="1"/>
  <c r="H25" i="1"/>
  <c r="I25" i="1"/>
  <c r="G25" i="1"/>
  <c r="G19" i="1"/>
  <c r="H19" i="1"/>
  <c r="I19" i="1"/>
  <c r="G26" i="1"/>
  <c r="I26" i="1"/>
  <c r="H26" i="1"/>
  <c r="G20" i="1"/>
  <c r="I20" i="1"/>
  <c r="H20" i="1"/>
  <c r="G14" i="1"/>
  <c r="I14" i="1"/>
  <c r="H14" i="1"/>
  <c r="I8" i="1"/>
  <c r="G8" i="1"/>
  <c r="H8" i="1"/>
  <c r="H36" i="1"/>
  <c r="I36" i="1"/>
  <c r="G36" i="1"/>
  <c r="H9" i="1"/>
  <c r="I9" i="1"/>
  <c r="G9" i="1"/>
  <c r="I42" i="1"/>
  <c r="H42" i="1"/>
  <c r="G42" i="1"/>
  <c r="H12" i="1"/>
  <c r="I12" i="1"/>
  <c r="G12" i="1"/>
  <c r="I37" i="1"/>
  <c r="G37" i="1"/>
  <c r="H37" i="1"/>
  <c r="I38" i="1"/>
  <c r="G38" i="1"/>
  <c r="H38" i="1"/>
  <c r="G32" i="1"/>
  <c r="I32" i="1"/>
  <c r="H32" i="1"/>
  <c r="H27" i="1"/>
  <c r="G27" i="1"/>
  <c r="I27" i="1"/>
  <c r="J33" i="1"/>
  <c r="K33" i="1"/>
  <c r="L33" i="1"/>
  <c r="M33" i="1"/>
  <c r="J15" i="1"/>
  <c r="K15" i="1"/>
  <c r="L15" i="1"/>
  <c r="M15" i="1"/>
  <c r="L34" i="1"/>
  <c r="M34" i="1"/>
  <c r="K34" i="1"/>
  <c r="J34" i="1"/>
  <c r="J38" i="1"/>
  <c r="K38" i="1"/>
  <c r="M38" i="1"/>
  <c r="L38" i="1"/>
  <c r="L32" i="1"/>
  <c r="J32" i="1"/>
  <c r="K32" i="1"/>
  <c r="M32" i="1"/>
  <c r="J26" i="1"/>
  <c r="K26" i="1"/>
  <c r="M26" i="1"/>
  <c r="L26" i="1"/>
  <c r="J20" i="1"/>
  <c r="K20" i="1"/>
  <c r="M20" i="1"/>
  <c r="L20" i="1"/>
  <c r="J14" i="1"/>
  <c r="K14" i="1"/>
  <c r="M14" i="1"/>
  <c r="L14" i="1"/>
  <c r="L8" i="1"/>
  <c r="J8" i="1"/>
  <c r="K8" i="1"/>
  <c r="M8" i="1"/>
  <c r="J21" i="1"/>
  <c r="K21" i="1"/>
  <c r="L21" i="1"/>
  <c r="M21" i="1"/>
  <c r="L28" i="1"/>
  <c r="M28" i="1"/>
  <c r="J28" i="1"/>
  <c r="K28" i="1"/>
  <c r="J41" i="1"/>
  <c r="K41" i="1"/>
  <c r="L41" i="1"/>
  <c r="M41" i="1"/>
  <c r="J35" i="1"/>
  <c r="K35" i="1"/>
  <c r="L35" i="1"/>
  <c r="M35" i="1"/>
  <c r="L29" i="1"/>
  <c r="J29" i="1"/>
  <c r="K29" i="1"/>
  <c r="M29" i="1"/>
  <c r="J23" i="1"/>
  <c r="L23" i="1"/>
  <c r="K23" i="1"/>
  <c r="M23" i="1"/>
  <c r="L17" i="1"/>
  <c r="J17" i="1"/>
  <c r="K17" i="1"/>
  <c r="M17" i="1"/>
  <c r="J11" i="1"/>
  <c r="K11" i="1"/>
  <c r="L11" i="1"/>
  <c r="M11" i="1"/>
  <c r="J27" i="1"/>
  <c r="K27" i="1"/>
  <c r="L27" i="1"/>
  <c r="M27" i="1"/>
  <c r="J36" i="1"/>
  <c r="K36" i="1"/>
  <c r="L36" i="1"/>
  <c r="M36" i="1"/>
  <c r="J30" i="1"/>
  <c r="K30" i="1"/>
  <c r="L30" i="1"/>
  <c r="M30" i="1"/>
  <c r="J24" i="1"/>
  <c r="K24" i="1"/>
  <c r="L24" i="1"/>
  <c r="M24" i="1"/>
  <c r="J18" i="1"/>
  <c r="K18" i="1"/>
  <c r="L18" i="1"/>
  <c r="M18" i="1"/>
  <c r="J12" i="1"/>
  <c r="K12" i="1"/>
  <c r="L12" i="1"/>
  <c r="M12" i="1"/>
  <c r="J6" i="1"/>
  <c r="K6" i="1"/>
  <c r="L6" i="1"/>
  <c r="M6" i="1"/>
  <c r="L44" i="1"/>
  <c r="J44" i="1"/>
  <c r="K44" i="1"/>
  <c r="M44" i="1"/>
  <c r="J39" i="1"/>
  <c r="K39" i="1"/>
  <c r="L39" i="1"/>
  <c r="M39" i="1"/>
  <c r="J9" i="1"/>
  <c r="K9" i="1"/>
  <c r="L9" i="1"/>
  <c r="M9" i="1"/>
  <c r="L40" i="1"/>
  <c r="M40" i="1"/>
  <c r="J40" i="1"/>
  <c r="K40" i="1"/>
  <c r="L22" i="1"/>
  <c r="J22" i="1"/>
  <c r="M22" i="1"/>
  <c r="K22" i="1"/>
  <c r="L16" i="1"/>
  <c r="J16" i="1"/>
  <c r="M16" i="1"/>
  <c r="K16" i="1"/>
  <c r="L10" i="1"/>
  <c r="M10" i="1"/>
  <c r="J10" i="1"/>
  <c r="K10" i="1"/>
  <c r="J42" i="1"/>
  <c r="K42" i="1"/>
  <c r="L42" i="1"/>
  <c r="M42" i="1"/>
  <c r="M5" i="1"/>
  <c r="L5" i="1"/>
  <c r="K5" i="1"/>
  <c r="J5" i="1"/>
  <c r="L43" i="1"/>
  <c r="M43" i="1"/>
  <c r="J43" i="1"/>
  <c r="K43" i="1"/>
  <c r="L37" i="1"/>
  <c r="J37" i="1"/>
  <c r="M37" i="1"/>
  <c r="K37" i="1"/>
  <c r="L31" i="1"/>
  <c r="M31" i="1"/>
  <c r="J31" i="1"/>
  <c r="K31" i="1"/>
  <c r="L25" i="1"/>
  <c r="M25" i="1"/>
  <c r="J25" i="1"/>
  <c r="K25" i="1"/>
  <c r="L19" i="1"/>
  <c r="M19" i="1"/>
  <c r="J19" i="1"/>
  <c r="K19" i="1"/>
  <c r="L13" i="1"/>
  <c r="M13" i="1"/>
  <c r="J13" i="1"/>
  <c r="K13" i="1"/>
  <c r="L7" i="1"/>
  <c r="M7" i="1"/>
  <c r="K7" i="1"/>
  <c r="J7" i="1"/>
  <c r="N42" i="1"/>
  <c r="P42" i="1"/>
  <c r="O42" i="1"/>
  <c r="Q42" i="1"/>
  <c r="P38" i="1"/>
  <c r="Q38" i="1"/>
  <c r="N38" i="1"/>
  <c r="O38" i="1"/>
  <c r="P44" i="1"/>
  <c r="Q44" i="1"/>
  <c r="O44" i="1"/>
  <c r="N44" i="1"/>
  <c r="P39" i="1"/>
  <c r="N39" i="1"/>
  <c r="O39" i="1"/>
  <c r="Q39" i="1"/>
  <c r="N33" i="1"/>
  <c r="O33" i="1"/>
  <c r="P33" i="1"/>
  <c r="Q33" i="1"/>
  <c r="N27" i="1"/>
  <c r="O27" i="1"/>
  <c r="P27" i="1"/>
  <c r="Q27" i="1"/>
  <c r="N21" i="1"/>
  <c r="O21" i="1"/>
  <c r="P21" i="1"/>
  <c r="Q21" i="1"/>
  <c r="N15" i="1"/>
  <c r="O15" i="1"/>
  <c r="Q15" i="1"/>
  <c r="P15" i="1"/>
  <c r="N9" i="1"/>
  <c r="O9" i="1"/>
  <c r="Q9" i="1"/>
  <c r="P9" i="1"/>
  <c r="Q5" i="1"/>
  <c r="O5" i="1"/>
  <c r="P5" i="1"/>
  <c r="N5" i="1"/>
  <c r="N16" i="1"/>
  <c r="O16" i="1"/>
  <c r="P16" i="1"/>
  <c r="Q16" i="1"/>
  <c r="N10" i="1"/>
  <c r="O10" i="1"/>
  <c r="P10" i="1"/>
  <c r="Q10" i="1"/>
  <c r="P41" i="1"/>
  <c r="Q41" i="1"/>
  <c r="O41" i="1"/>
  <c r="N41" i="1"/>
  <c r="P35" i="1"/>
  <c r="Q35" i="1"/>
  <c r="O35" i="1"/>
  <c r="N35" i="1"/>
  <c r="P29" i="1"/>
  <c r="Q29" i="1"/>
  <c r="O29" i="1"/>
  <c r="N29" i="1"/>
  <c r="P23" i="1"/>
  <c r="Q23" i="1"/>
  <c r="O23" i="1"/>
  <c r="N23" i="1"/>
  <c r="P17" i="1"/>
  <c r="Q17" i="1"/>
  <c r="N17" i="1"/>
  <c r="O17" i="1"/>
  <c r="P11" i="1"/>
  <c r="Q11" i="1"/>
  <c r="N11" i="1"/>
  <c r="O11" i="1"/>
  <c r="N36" i="1"/>
  <c r="P36" i="1"/>
  <c r="O36" i="1"/>
  <c r="Q36" i="1"/>
  <c r="N18" i="1"/>
  <c r="P18" i="1"/>
  <c r="O18" i="1"/>
  <c r="Q18" i="1"/>
  <c r="N12" i="1"/>
  <c r="O12" i="1"/>
  <c r="Q12" i="1"/>
  <c r="P12" i="1"/>
  <c r="N34" i="1"/>
  <c r="O34" i="1"/>
  <c r="P34" i="1"/>
  <c r="Q34" i="1"/>
  <c r="N28" i="1"/>
  <c r="O28" i="1"/>
  <c r="P28" i="1"/>
  <c r="Q28" i="1"/>
  <c r="N30" i="1"/>
  <c r="P30" i="1"/>
  <c r="O30" i="1"/>
  <c r="Q30" i="1"/>
  <c r="N24" i="1"/>
  <c r="P24" i="1"/>
  <c r="O24" i="1"/>
  <c r="Q24" i="1"/>
  <c r="N43" i="1"/>
  <c r="O43" i="1"/>
  <c r="P43" i="1"/>
  <c r="Q43" i="1"/>
  <c r="N37" i="1"/>
  <c r="O37" i="1"/>
  <c r="P37" i="1"/>
  <c r="Q37" i="1"/>
  <c r="N31" i="1"/>
  <c r="O31" i="1"/>
  <c r="P31" i="1"/>
  <c r="Q31" i="1"/>
  <c r="N25" i="1"/>
  <c r="O25" i="1"/>
  <c r="P25" i="1"/>
  <c r="Q25" i="1"/>
  <c r="N19" i="1"/>
  <c r="O19" i="1"/>
  <c r="P19" i="1"/>
  <c r="Q19" i="1"/>
  <c r="N13" i="1"/>
  <c r="O13" i="1"/>
  <c r="P13" i="1"/>
  <c r="Q13" i="1"/>
  <c r="N7" i="1"/>
  <c r="O7" i="1"/>
  <c r="P7" i="1"/>
  <c r="Q7" i="1"/>
  <c r="N40" i="1"/>
  <c r="O40" i="1"/>
  <c r="P40" i="1"/>
  <c r="Q40" i="1"/>
  <c r="N22" i="1"/>
  <c r="O22" i="1"/>
  <c r="P22" i="1"/>
  <c r="Q22" i="1"/>
  <c r="P32" i="1"/>
  <c r="Q32" i="1"/>
  <c r="N32" i="1"/>
  <c r="O32" i="1"/>
  <c r="P26" i="1"/>
  <c r="Q26" i="1"/>
  <c r="N26" i="1"/>
  <c r="O26" i="1"/>
  <c r="P20" i="1"/>
  <c r="Q20" i="1"/>
  <c r="N20" i="1"/>
  <c r="O20" i="1"/>
  <c r="P14" i="1"/>
  <c r="Q14" i="1"/>
  <c r="N14" i="1"/>
  <c r="O14" i="1"/>
  <c r="P8" i="1"/>
  <c r="Q8" i="1"/>
  <c r="N8" i="1"/>
  <c r="O8" i="1"/>
  <c r="N6" i="1"/>
  <c r="O6" i="1"/>
  <c r="P6" i="1"/>
  <c r="Q6" i="1"/>
  <c r="R17" i="1"/>
  <c r="S17" i="1"/>
  <c r="U17" i="1"/>
  <c r="T17" i="1"/>
  <c r="T40" i="1"/>
  <c r="U40" i="1"/>
  <c r="R40" i="1"/>
  <c r="S40" i="1"/>
  <c r="T34" i="1"/>
  <c r="U34" i="1"/>
  <c r="R34" i="1"/>
  <c r="S34" i="1"/>
  <c r="T28" i="1"/>
  <c r="U28" i="1"/>
  <c r="S28" i="1"/>
  <c r="R28" i="1"/>
  <c r="T22" i="1"/>
  <c r="U22" i="1"/>
  <c r="S22" i="1"/>
  <c r="R22" i="1"/>
  <c r="T16" i="1"/>
  <c r="U16" i="1"/>
  <c r="R16" i="1"/>
  <c r="S16" i="1"/>
  <c r="T10" i="1"/>
  <c r="U10" i="1"/>
  <c r="R10" i="1"/>
  <c r="S10" i="1"/>
  <c r="R23" i="1"/>
  <c r="T23" i="1"/>
  <c r="S23" i="1"/>
  <c r="U23" i="1"/>
  <c r="R42" i="1"/>
  <c r="S42" i="1"/>
  <c r="T42" i="1"/>
  <c r="U42" i="1"/>
  <c r="R36" i="1"/>
  <c r="S36" i="1"/>
  <c r="T36" i="1"/>
  <c r="U36" i="1"/>
  <c r="R30" i="1"/>
  <c r="S30" i="1"/>
  <c r="T30" i="1"/>
  <c r="U30" i="1"/>
  <c r="R24" i="1"/>
  <c r="S24" i="1"/>
  <c r="T24" i="1"/>
  <c r="U24" i="1"/>
  <c r="R18" i="1"/>
  <c r="S18" i="1"/>
  <c r="T18" i="1"/>
  <c r="U18" i="1"/>
  <c r="R12" i="1"/>
  <c r="S12" i="1"/>
  <c r="T12" i="1"/>
  <c r="U12" i="1"/>
  <c r="R6" i="1"/>
  <c r="S6" i="1"/>
  <c r="T6" i="1"/>
  <c r="U6" i="1"/>
  <c r="T41" i="1"/>
  <c r="R41" i="1"/>
  <c r="S41" i="1"/>
  <c r="U41" i="1"/>
  <c r="R35" i="1"/>
  <c r="S35" i="1"/>
  <c r="T35" i="1"/>
  <c r="U35" i="1"/>
  <c r="R29" i="1"/>
  <c r="T29" i="1"/>
  <c r="S29" i="1"/>
  <c r="U29" i="1"/>
  <c r="R11" i="1"/>
  <c r="S11" i="1"/>
  <c r="U11" i="1"/>
  <c r="T11" i="1"/>
  <c r="T37" i="1"/>
  <c r="U37" i="1"/>
  <c r="R37" i="1"/>
  <c r="S37" i="1"/>
  <c r="T31" i="1"/>
  <c r="U31" i="1"/>
  <c r="R31" i="1"/>
  <c r="S31" i="1"/>
  <c r="T25" i="1"/>
  <c r="U25" i="1"/>
  <c r="R25" i="1"/>
  <c r="S25" i="1"/>
  <c r="T19" i="1"/>
  <c r="U19" i="1"/>
  <c r="R19" i="1"/>
  <c r="S19" i="1"/>
  <c r="T13" i="1"/>
  <c r="U13" i="1"/>
  <c r="R13" i="1"/>
  <c r="S13" i="1"/>
  <c r="T7" i="1"/>
  <c r="U7" i="1"/>
  <c r="R7" i="1"/>
  <c r="S7" i="1"/>
  <c r="T43" i="1"/>
  <c r="U43" i="1"/>
  <c r="R43" i="1"/>
  <c r="S43" i="1"/>
  <c r="R38" i="1"/>
  <c r="S38" i="1"/>
  <c r="U38" i="1"/>
  <c r="T38" i="1"/>
  <c r="R32" i="1"/>
  <c r="S32" i="1"/>
  <c r="U32" i="1"/>
  <c r="T32" i="1"/>
  <c r="T26" i="1"/>
  <c r="R26" i="1"/>
  <c r="S26" i="1"/>
  <c r="U26" i="1"/>
  <c r="T20" i="1"/>
  <c r="R20" i="1"/>
  <c r="S20" i="1"/>
  <c r="U20" i="1"/>
  <c r="T14" i="1"/>
  <c r="R14" i="1"/>
  <c r="S14" i="1"/>
  <c r="U14" i="1"/>
  <c r="R8" i="1"/>
  <c r="T8" i="1"/>
  <c r="S8" i="1"/>
  <c r="U8" i="1"/>
  <c r="R44" i="1"/>
  <c r="S44" i="1"/>
  <c r="U44" i="1"/>
  <c r="T44" i="1"/>
  <c r="R39" i="1"/>
  <c r="S39" i="1"/>
  <c r="T39" i="1"/>
  <c r="U39" i="1"/>
  <c r="R33" i="1"/>
  <c r="S33" i="1"/>
  <c r="T33" i="1"/>
  <c r="U33" i="1"/>
  <c r="R27" i="1"/>
  <c r="S27" i="1"/>
  <c r="T27" i="1"/>
  <c r="U27" i="1"/>
  <c r="R21" i="1"/>
  <c r="S21" i="1"/>
  <c r="T21" i="1"/>
  <c r="U21" i="1"/>
  <c r="R15" i="1"/>
  <c r="S15" i="1"/>
  <c r="T15" i="1"/>
  <c r="U15" i="1"/>
  <c r="R9" i="1"/>
  <c r="S9" i="1"/>
  <c r="T9" i="1"/>
  <c r="U9" i="1"/>
  <c r="T5" i="1"/>
  <c r="R5" i="1"/>
  <c r="S5" i="1"/>
  <c r="U5" i="1"/>
  <c r="W42" i="1"/>
  <c r="X42" i="1"/>
  <c r="V42" i="1"/>
  <c r="Y42" i="1"/>
  <c r="V30" i="1"/>
  <c r="W30" i="1"/>
  <c r="X30" i="1"/>
  <c r="Y30" i="1"/>
  <c r="W24" i="1"/>
  <c r="X24" i="1"/>
  <c r="Y24" i="1"/>
  <c r="V24" i="1"/>
  <c r="W18" i="1"/>
  <c r="X18" i="1"/>
  <c r="Y18" i="1"/>
  <c r="V18" i="1"/>
  <c r="W12" i="1"/>
  <c r="X12" i="1"/>
  <c r="Y12" i="1"/>
  <c r="V12" i="1"/>
  <c r="W6" i="1"/>
  <c r="X6" i="1"/>
  <c r="Y6" i="1"/>
  <c r="V6" i="1"/>
  <c r="W43" i="1"/>
  <c r="Y43" i="1"/>
  <c r="V43" i="1"/>
  <c r="X43" i="1"/>
  <c r="W37" i="1"/>
  <c r="X37" i="1"/>
  <c r="Y37" i="1"/>
  <c r="V37" i="1"/>
  <c r="W31" i="1"/>
  <c r="X31" i="1"/>
  <c r="Y31" i="1"/>
  <c r="V31" i="1"/>
  <c r="Y25" i="1"/>
  <c r="V25" i="1"/>
  <c r="W25" i="1"/>
  <c r="X25" i="1"/>
  <c r="Y19" i="1"/>
  <c r="V19" i="1"/>
  <c r="W19" i="1"/>
  <c r="X19" i="1"/>
  <c r="Y13" i="1"/>
  <c r="V13" i="1"/>
  <c r="W13" i="1"/>
  <c r="X13" i="1"/>
  <c r="Y38" i="1"/>
  <c r="V38" i="1"/>
  <c r="W38" i="1"/>
  <c r="X38" i="1"/>
  <c r="V26" i="1"/>
  <c r="W26" i="1"/>
  <c r="X26" i="1"/>
  <c r="Y26" i="1"/>
  <c r="V33" i="1"/>
  <c r="W33" i="1"/>
  <c r="X33" i="1"/>
  <c r="Y33" i="1"/>
  <c r="W27" i="1"/>
  <c r="X27" i="1"/>
  <c r="Y27" i="1"/>
  <c r="V27" i="1"/>
  <c r="W15" i="1"/>
  <c r="X15" i="1"/>
  <c r="Y15" i="1"/>
  <c r="V15" i="1"/>
  <c r="W9" i="1"/>
  <c r="X9" i="1"/>
  <c r="Y9" i="1"/>
  <c r="V9" i="1"/>
  <c r="V40" i="1"/>
  <c r="W40" i="1"/>
  <c r="X40" i="1"/>
  <c r="Y40" i="1"/>
  <c r="W34" i="1"/>
  <c r="X34" i="1"/>
  <c r="Y34" i="1"/>
  <c r="V34" i="1"/>
  <c r="Y28" i="1"/>
  <c r="V28" i="1"/>
  <c r="W28" i="1"/>
  <c r="X28" i="1"/>
  <c r="Y22" i="1"/>
  <c r="V22" i="1"/>
  <c r="W22" i="1"/>
  <c r="X22" i="1"/>
  <c r="Y16" i="1"/>
  <c r="V16" i="1"/>
  <c r="W16" i="1"/>
  <c r="X16" i="1"/>
  <c r="Y10" i="1"/>
  <c r="V10" i="1"/>
  <c r="W10" i="1"/>
  <c r="X10" i="1"/>
  <c r="Y41" i="1"/>
  <c r="V41" i="1"/>
  <c r="W41" i="1"/>
  <c r="X41" i="1"/>
  <c r="Y35" i="1"/>
  <c r="V35" i="1"/>
  <c r="W35" i="1"/>
  <c r="X35" i="1"/>
  <c r="V23" i="1"/>
  <c r="W23" i="1"/>
  <c r="X23" i="1"/>
  <c r="Y23" i="1"/>
  <c r="V17" i="1"/>
  <c r="W17" i="1"/>
  <c r="X17" i="1"/>
  <c r="Y17" i="1"/>
  <c r="V11" i="1"/>
  <c r="W11" i="1"/>
  <c r="X11" i="1"/>
  <c r="Y11" i="1"/>
  <c r="V20" i="1"/>
  <c r="W20" i="1"/>
  <c r="X20" i="1"/>
  <c r="Y20" i="1"/>
  <c r="V14" i="1"/>
  <c r="W14" i="1"/>
  <c r="X14" i="1"/>
  <c r="Y14" i="1"/>
  <c r="V8" i="1"/>
  <c r="W8" i="1"/>
  <c r="X8" i="1"/>
  <c r="Y8" i="1"/>
  <c r="V36" i="1"/>
  <c r="W36" i="1"/>
  <c r="X36" i="1"/>
  <c r="Y36" i="1"/>
  <c r="Y7" i="1"/>
  <c r="V7" i="1"/>
  <c r="W7" i="1"/>
  <c r="X7" i="1"/>
  <c r="Y32" i="1"/>
  <c r="V32" i="1"/>
  <c r="W32" i="1"/>
  <c r="X32" i="1"/>
  <c r="Y44" i="1"/>
  <c r="V44" i="1"/>
  <c r="W44" i="1"/>
  <c r="X44" i="1"/>
  <c r="W39" i="1"/>
  <c r="X39" i="1"/>
  <c r="Y39" i="1"/>
  <c r="V39" i="1"/>
  <c r="W21" i="1"/>
  <c r="X21" i="1"/>
  <c r="Y21" i="1"/>
  <c r="V21" i="1"/>
  <c r="Y29" i="1"/>
  <c r="V29" i="1"/>
  <c r="W29" i="1"/>
  <c r="X29" i="1"/>
  <c r="Y5" i="1"/>
  <c r="W5" i="1"/>
  <c r="X5" i="1"/>
  <c r="V5" i="1"/>
</calcChain>
</file>

<file path=xl/sharedStrings.xml><?xml version="1.0" encoding="utf-8"?>
<sst xmlns="http://schemas.openxmlformats.org/spreadsheetml/2006/main" count="214" uniqueCount="103">
  <si>
    <t>16k</t>
  </si>
  <si>
    <t>32k</t>
  </si>
  <si>
    <t>8k</t>
  </si>
  <si>
    <t>Binary address</t>
  </si>
  <si>
    <t>Hexadecimal address digits</t>
  </si>
  <si>
    <t>Selected ROM</t>
  </si>
  <si>
    <t>bitshift left 1</t>
  </si>
  <si>
    <t>romnumber &lt;&lt; 1</t>
  </si>
  <si>
    <t>bitshift left 2</t>
  </si>
  <si>
    <t>romnumber &lt;&lt; 2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</si>
  <si>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</si>
  <si>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</si>
  <si>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</si>
  <si>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</si>
  <si>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</si>
  <si>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</si>
  <si>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</si>
  <si>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</si>
  <si>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</si>
  <si>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</si>
  <si>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</si>
  <si>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</si>
  <si>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</si>
  <si>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</si>
  <si>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</si>
  <si>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</si>
  <si>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</si>
  <si>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</si>
  <si>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</si>
  <si>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04000</t>
  </si>
  <si>
    <t>06000</t>
  </si>
  <si>
    <t>08000</t>
  </si>
  <si>
    <t>0A000</t>
  </si>
  <si>
    <t>0C000</t>
  </si>
  <si>
    <t>0E000</t>
  </si>
  <si>
    <t>10000</t>
  </si>
  <si>
    <t>12000</t>
  </si>
  <si>
    <t>14000</t>
  </si>
  <si>
    <t>16000</t>
  </si>
  <si>
    <t>18000</t>
  </si>
  <si>
    <t>1A000</t>
  </si>
  <si>
    <t>1C000</t>
  </si>
  <si>
    <t>1E000</t>
  </si>
  <si>
    <t>20000</t>
  </si>
  <si>
    <t>22000</t>
  </si>
  <si>
    <t>24000</t>
  </si>
  <si>
    <t>26000</t>
  </si>
  <si>
    <t>28000</t>
  </si>
  <si>
    <t>2A000</t>
  </si>
  <si>
    <t>2C000</t>
  </si>
  <si>
    <t>2E000</t>
  </si>
  <si>
    <t>30000</t>
  </si>
  <si>
    <t>32000</t>
  </si>
  <si>
    <t>34000</t>
  </si>
  <si>
    <t>36000</t>
  </si>
  <si>
    <t>38000</t>
  </si>
  <si>
    <t>3A000</t>
  </si>
  <si>
    <t>3C000</t>
  </si>
  <si>
    <t>3E000</t>
  </si>
  <si>
    <t>40000</t>
  </si>
  <si>
    <t>42000</t>
  </si>
  <si>
    <t>44000</t>
  </si>
  <si>
    <t>46000</t>
  </si>
  <si>
    <t>48000</t>
  </si>
  <si>
    <t>4A000</t>
  </si>
  <si>
    <t>4C000</t>
  </si>
  <si>
    <t>4E000</t>
  </si>
  <si>
    <t>50000</t>
  </si>
  <si>
    <t>52000</t>
  </si>
  <si>
    <t>54000</t>
  </si>
  <si>
    <t>56000</t>
  </si>
  <si>
    <t>58000</t>
  </si>
  <si>
    <t>60000</t>
  </si>
  <si>
    <t>62000</t>
  </si>
  <si>
    <t>64000</t>
  </si>
  <si>
    <t>5A000</t>
  </si>
  <si>
    <t>5C000</t>
  </si>
  <si>
    <t>5E000</t>
  </si>
  <si>
    <t>66000</t>
  </si>
  <si>
    <t>68000</t>
  </si>
  <si>
    <t>70000</t>
  </si>
  <si>
    <t>72000</t>
  </si>
  <si>
    <t>74000</t>
  </si>
  <si>
    <t>6A000</t>
  </si>
  <si>
    <t>6C000</t>
  </si>
  <si>
    <t>6E000</t>
  </si>
  <si>
    <t>76000</t>
  </si>
  <si>
    <t>78000</t>
  </si>
  <si>
    <t>7A000</t>
  </si>
  <si>
    <t>7C000</t>
  </si>
  <si>
    <t>128k      Flash</t>
  </si>
  <si>
    <t>Flash Bank 0</t>
  </si>
  <si>
    <t>Flash Bank 1</t>
  </si>
  <si>
    <t>Flash Bank 2</t>
  </si>
  <si>
    <t>7E000</t>
  </si>
  <si>
    <t>256k      Flash</t>
  </si>
  <si>
    <t>512k      Flash</t>
  </si>
  <si>
    <t>Hexadecimal start address</t>
  </si>
  <si>
    <t>02000</t>
  </si>
  <si>
    <t>00000</t>
  </si>
  <si>
    <t>CBM Multirom SST39SF0x0 Basic and Kernal Rom Bank</t>
  </si>
  <si>
    <t>no bitshift</t>
  </si>
  <si>
    <t>romnumber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</si>
</sst>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0x&quot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49" fontId="0" fillId="0" borderId="0" xfId="0" applyNumberFormat="1"/>
    <xf numFmtId="0" fontId="0" fillId="0" borderId="6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center"/>
    </xf>
    <xf numFmtId="164" fontId="0" fillId="0" borderId="24" xfId="0" applyNumberFormat="1" applyBorder="1" applyAlignment="1" applyProtection="1">
      <alignment horizontal="center" vertical="center"/>
      <protection locked="0"/>
    </xf>
    <xf numFmtId="0" fontId="0" fillId="0" borderId="34" xfId="0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Protection="1">
      <protection locked="0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5" borderId="39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4" borderId="38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36" xfId="0" applyFont="1" applyFill="1" applyBorder="1" applyAlignment="1">
      <alignment horizontal="center" vertical="center" wrapText="1"/>
    </xf>
    <xf numFmtId="0" fontId="1" fillId="4" borderId="39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37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" fillId="0" borderId="40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</cellXfs>
  <cellStyles count="1"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H69"/>
  <sheetViews>
    <sheetView tabSelected="1" zoomScale="115" zoomScaleNormal="115" workbookViewId="0">
      <pane ySplit="4" topLeftCell="A5" activePane="bottomLeft" state="frozen"/>
      <selection pane="bottomLeft" activeCell="A5" sqref="A5"/>
    </sheetView>
  </sheetViews>
  <sheetFormatPr baseColWidth="10" defaultRowHeight="15" x14ac:dyDescent="0.25"/>
  <cols>
    <col min="1" max="1" width="15.28515625" customWidth="1"/>
    <col min="2" max="6" width="5.7109375" customWidth="1"/>
    <col min="7" max="25" width="3.7109375" customWidth="1"/>
    <col min="26" max="31" width="8.7109375" customWidth="1"/>
    <col min="32" max="32" width="13" customWidth="1"/>
  </cols>
  <sheetData>
    <row r="1" spans="1:34" ht="15" customHeight="1" x14ac:dyDescent="0.25">
      <c r="A1" s="41" t="s">
        <v>100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40"/>
      <c r="Q1" s="62" t="s">
        <v>90</v>
      </c>
      <c r="R1" s="63"/>
      <c r="S1" s="63"/>
      <c r="T1" s="56" t="s">
        <v>95</v>
      </c>
      <c r="U1" s="57"/>
      <c r="V1" s="58"/>
      <c r="W1" s="50" t="s">
        <v>96</v>
      </c>
      <c r="X1" s="51"/>
      <c r="Y1" s="52"/>
      <c r="Z1" s="66" t="s">
        <v>101</v>
      </c>
      <c r="AA1" s="67"/>
      <c r="AB1" s="39" t="s">
        <v>6</v>
      </c>
      <c r="AC1" s="40"/>
      <c r="AD1" s="41" t="s">
        <v>8</v>
      </c>
      <c r="AE1" s="40"/>
    </row>
    <row r="2" spans="1:34" ht="15.75" thickBot="1" x14ac:dyDescent="0.3">
      <c r="A2" s="42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3"/>
      <c r="Q2" s="64"/>
      <c r="R2" s="65"/>
      <c r="S2" s="65"/>
      <c r="T2" s="59"/>
      <c r="U2" s="60"/>
      <c r="V2" s="61"/>
      <c r="W2" s="53"/>
      <c r="X2" s="54"/>
      <c r="Y2" s="55"/>
      <c r="Z2" s="68" t="s">
        <v>102</v>
      </c>
      <c r="AA2" s="69"/>
      <c r="AB2" s="44" t="s">
        <v>7</v>
      </c>
      <c r="AC2" s="43"/>
      <c r="AD2" s="42" t="s">
        <v>9</v>
      </c>
      <c r="AE2" s="43"/>
    </row>
    <row r="3" spans="1:34" ht="15.75" customHeight="1" thickBot="1" x14ac:dyDescent="0.3">
      <c r="A3" s="37" t="s">
        <v>97</v>
      </c>
      <c r="B3" s="71" t="s">
        <v>4</v>
      </c>
      <c r="C3" s="72"/>
      <c r="D3" s="72"/>
      <c r="E3" s="72"/>
      <c r="F3" s="73"/>
      <c r="G3" s="47" t="s">
        <v>3</v>
      </c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  <c r="Z3" s="77" t="s">
        <v>5</v>
      </c>
      <c r="AA3" s="38" t="s">
        <v>91</v>
      </c>
      <c r="AB3" s="37" t="s">
        <v>5</v>
      </c>
      <c r="AC3" s="37" t="s">
        <v>92</v>
      </c>
      <c r="AD3" s="37" t="s">
        <v>5</v>
      </c>
      <c r="AE3" s="45" t="s">
        <v>93</v>
      </c>
      <c r="AF3" s="1"/>
    </row>
    <row r="4" spans="1:34" ht="15.75" thickBot="1" x14ac:dyDescent="0.3">
      <c r="A4" s="38"/>
      <c r="B4" s="26">
        <v>5</v>
      </c>
      <c r="C4" s="27">
        <v>4</v>
      </c>
      <c r="D4" s="27">
        <v>3</v>
      </c>
      <c r="E4" s="27">
        <v>2</v>
      </c>
      <c r="F4" s="28">
        <v>1</v>
      </c>
      <c r="G4" s="23" t="s">
        <v>28</v>
      </c>
      <c r="H4" s="23" t="s">
        <v>27</v>
      </c>
      <c r="I4" s="23" t="s">
        <v>26</v>
      </c>
      <c r="J4" s="24" t="s">
        <v>25</v>
      </c>
      <c r="K4" s="24" t="s">
        <v>24</v>
      </c>
      <c r="L4" s="24" t="s">
        <v>23</v>
      </c>
      <c r="M4" s="24" t="s">
        <v>22</v>
      </c>
      <c r="N4" s="24" t="s">
        <v>21</v>
      </c>
      <c r="O4" s="24" t="s">
        <v>20</v>
      </c>
      <c r="P4" s="24" t="s">
        <v>19</v>
      </c>
      <c r="Q4" s="24" t="s">
        <v>18</v>
      </c>
      <c r="R4" s="24" t="s">
        <v>17</v>
      </c>
      <c r="S4" s="24" t="s">
        <v>16</v>
      </c>
      <c r="T4" s="24" t="s">
        <v>15</v>
      </c>
      <c r="U4" s="24" t="s">
        <v>14</v>
      </c>
      <c r="V4" s="24" t="s">
        <v>13</v>
      </c>
      <c r="W4" s="24" t="s">
        <v>12</v>
      </c>
      <c r="X4" s="24" t="s">
        <v>11</v>
      </c>
      <c r="Y4" s="24" t="s">
        <v>10</v>
      </c>
      <c r="Z4" s="78"/>
      <c r="AA4" s="79"/>
      <c r="AB4" s="38"/>
      <c r="AC4" s="38"/>
      <c r="AD4" s="38"/>
      <c r="AE4" s="46"/>
    </row>
    <row r="5" spans="1:34" x14ac:dyDescent="0.25">
      <c r="A5" s="25" t="s">
        <v>99</v>
      </c>
      <c r="B5" s="5" t="str">
        <f>IFERROR((MID(A5,(LEN(A5)-4),1)),0)</f>
        <v>0</v>
      </c>
      <c r="C5" s="6" t="str">
        <f>IFERROR((MID(A5,(LEN(A5)-3),1)),0)</f>
        <v>0</v>
      </c>
      <c r="D5" s="6" t="str">
        <f>IFERROR((MID(A5,(LEN(A5)-2),1)),0)</f>
        <v>0</v>
      </c>
      <c r="E5" s="6" t="str">
        <f>IFERROR((MID(A5,(LEN(A5)-1),1)),0)</f>
        <v>0</v>
      </c>
      <c r="F5" s="7" t="str">
        <f>IFERROR((MID(A5,(LEN(A5)),1)),0)</f>
        <v>0</v>
      </c>
      <c r="G5" s="14" t="str">
        <f>MID((HEX2BIN(B5,4)),2,1)</f>
        <v>0</v>
      </c>
      <c r="H5" s="6" t="str">
        <f>MID((HEX2BIN(B5,4)),3,1)</f>
        <v>0</v>
      </c>
      <c r="I5" s="6" t="str">
        <f>MID((HEX2BIN(B5,4)),4,1)</f>
        <v>0</v>
      </c>
      <c r="J5" s="6" t="str">
        <f>MID((HEX2BIN(C5,4)),1,1)</f>
        <v>0</v>
      </c>
      <c r="K5" s="6" t="str">
        <f>MID((HEX2BIN(C5,4)),2,1)</f>
        <v>0</v>
      </c>
      <c r="L5" s="6" t="str">
        <f>MID((HEX2BIN(C5,4)),3,1)</f>
        <v>0</v>
      </c>
      <c r="M5" s="6" t="str">
        <f>MID((HEX2BIN(C5,4)),4,1)</f>
        <v>0</v>
      </c>
      <c r="N5" s="6" t="str">
        <f>MID((HEX2BIN(D5,4)),1,1)</f>
        <v>0</v>
      </c>
      <c r="O5" s="6" t="str">
        <f>MID((HEX2BIN(D5,4)),2,1)</f>
        <v>0</v>
      </c>
      <c r="P5" s="6" t="str">
        <f>MID((HEX2BIN(D5,4)),3,1)</f>
        <v>0</v>
      </c>
      <c r="Q5" s="6" t="str">
        <f>MID((HEX2BIN(D5,4)),4,1)</f>
        <v>0</v>
      </c>
      <c r="R5" s="6" t="str">
        <f>MID((HEX2BIN(E5,4)),1,1)</f>
        <v>0</v>
      </c>
      <c r="S5" s="6" t="str">
        <f>MID((HEX2BIN(E5,4)),2,1)</f>
        <v>0</v>
      </c>
      <c r="T5" s="6" t="str">
        <f>MID((HEX2BIN(E5,4)),3,1)</f>
        <v>0</v>
      </c>
      <c r="U5" s="6" t="str">
        <f>MID((HEX2BIN(E5,4)),4,1)</f>
        <v>0</v>
      </c>
      <c r="V5" s="6" t="str">
        <f>MID((HEX2BIN(F5,4)),1,1)</f>
        <v>0</v>
      </c>
      <c r="W5" s="6" t="str">
        <f>MID((HEX2BIN(F5,4)),2,1)</f>
        <v>0</v>
      </c>
      <c r="X5" s="6" t="str">
        <f>MID((HEX2BIN(F5,4)),3,1)</f>
        <v>0</v>
      </c>
      <c r="Y5" s="7" t="str">
        <f>MID((HEX2BIN(F5,4)),4,1)</f>
        <v>0</v>
      </c>
      <c r="Z5" s="19">
        <v>0</v>
      </c>
      <c r="AA5" s="17" t="s">
        <v>2</v>
      </c>
      <c r="AB5" s="70">
        <v>0</v>
      </c>
      <c r="AC5" s="74" t="s">
        <v>0</v>
      </c>
      <c r="AD5" s="70">
        <v>0</v>
      </c>
      <c r="AE5" s="76" t="s">
        <v>1</v>
      </c>
      <c r="AH5" s="1"/>
    </row>
    <row r="6" spans="1:34" x14ac:dyDescent="0.25">
      <c r="A6" s="31" t="s">
        <v>98</v>
      </c>
      <c r="B6" s="29" t="str">
        <f t="shared" ref="B6:B68" si="0">IFERROR((MID(A6,(LEN(A6)-4),1)),0)</f>
        <v>0</v>
      </c>
      <c r="C6" s="10" t="str">
        <f t="shared" ref="C6:C44" si="1">IFERROR((MID(A6,(LEN(A6)-3),1)),0)</f>
        <v>2</v>
      </c>
      <c r="D6" s="10" t="str">
        <f t="shared" ref="D6:D44" si="2">IFERROR((MID(A6,(LEN(A6)-2),1)),0)</f>
        <v>0</v>
      </c>
      <c r="E6" s="10" t="str">
        <f t="shared" ref="E6:E44" si="3">IFERROR((MID(A6,(LEN(A6)-1),1)),0)</f>
        <v>0</v>
      </c>
      <c r="F6" s="11" t="str">
        <f t="shared" ref="F6:F44" si="4">IFERROR((MID(A6,(LEN(A6)),1)),0)</f>
        <v>0</v>
      </c>
      <c r="G6" s="9" t="str">
        <f t="shared" ref="G6:G44" si="5">MID((HEX2BIN(B6,4)),2,1)</f>
        <v>0</v>
      </c>
      <c r="H6" s="10" t="str">
        <f t="shared" ref="H6:H44" si="6">MID((HEX2BIN(B6,4)),3,1)</f>
        <v>0</v>
      </c>
      <c r="I6" s="10" t="str">
        <f t="shared" ref="I6:I44" si="7">MID((HEX2BIN(B6,4)),4,1)</f>
        <v>0</v>
      </c>
      <c r="J6" s="10" t="str">
        <f t="shared" ref="J6:J44" si="8">MID((HEX2BIN(C6,4)),1,1)</f>
        <v>0</v>
      </c>
      <c r="K6" s="10" t="str">
        <f t="shared" ref="K6:K44" si="9">MID((HEX2BIN(C6,4)),2,1)</f>
        <v>0</v>
      </c>
      <c r="L6" s="10" t="str">
        <f t="shared" ref="L6:L44" si="10">MID((HEX2BIN(C6,4)),3,1)</f>
        <v>1</v>
      </c>
      <c r="M6" s="10" t="str">
        <f t="shared" ref="M6:M44" si="11">MID((HEX2BIN(C6,4)),4,1)</f>
        <v>0</v>
      </c>
      <c r="N6" s="10" t="str">
        <f t="shared" ref="N6:N44" si="12">MID((HEX2BIN(D6,4)),1,1)</f>
        <v>0</v>
      </c>
      <c r="O6" s="10" t="str">
        <f t="shared" ref="O6:O44" si="13">MID((HEX2BIN(D6,4)),2,1)</f>
        <v>0</v>
      </c>
      <c r="P6" s="10" t="str">
        <f t="shared" ref="P6:P44" si="14">MID((HEX2BIN(D6,4)),3,1)</f>
        <v>0</v>
      </c>
      <c r="Q6" s="10" t="str">
        <f t="shared" ref="Q6:Q44" si="15">MID((HEX2BIN(D6,4)),4,1)</f>
        <v>0</v>
      </c>
      <c r="R6" s="10" t="str">
        <f t="shared" ref="R6:R44" si="16">MID((HEX2BIN(E6,4)),1,1)</f>
        <v>0</v>
      </c>
      <c r="S6" s="10" t="str">
        <f t="shared" ref="S6:S44" si="17">MID((HEX2BIN(E6,4)),2,1)</f>
        <v>0</v>
      </c>
      <c r="T6" s="10" t="str">
        <f t="shared" ref="T6:T44" si="18">MID((HEX2BIN(E6,4)),3,1)</f>
        <v>0</v>
      </c>
      <c r="U6" s="10" t="str">
        <f t="shared" ref="U6:U44" si="19">MID((HEX2BIN(E6,4)),4,1)</f>
        <v>0</v>
      </c>
      <c r="V6" s="10" t="str">
        <f t="shared" ref="V6:V44" si="20">MID((HEX2BIN(F6,4)),1,1)</f>
        <v>0</v>
      </c>
      <c r="W6" s="10" t="str">
        <f t="shared" ref="W6:W44" si="21">MID((HEX2BIN(F6,4)),2,1)</f>
        <v>0</v>
      </c>
      <c r="X6" s="10" t="str">
        <f t="shared" ref="X6:X44" si="22">MID((HEX2BIN(F6,4)),3,1)</f>
        <v>0</v>
      </c>
      <c r="Y6" s="11" t="str">
        <f t="shared" ref="Y6:Y44" si="23">MID((HEX2BIN(F6,4)),4,1)</f>
        <v>0</v>
      </c>
      <c r="Z6" s="20">
        <v>1</v>
      </c>
      <c r="AA6" s="18" t="s">
        <v>2</v>
      </c>
      <c r="AB6" s="33"/>
      <c r="AC6" s="75"/>
      <c r="AD6" s="33"/>
      <c r="AE6" s="34"/>
      <c r="AH6" s="1"/>
    </row>
    <row r="7" spans="1:34" x14ac:dyDescent="0.25">
      <c r="A7" s="31" t="s">
        <v>29</v>
      </c>
      <c r="B7" s="29" t="str">
        <f t="shared" si="0"/>
        <v>0</v>
      </c>
      <c r="C7" s="10" t="str">
        <f t="shared" si="1"/>
        <v>4</v>
      </c>
      <c r="D7" s="10" t="str">
        <f t="shared" si="2"/>
        <v>0</v>
      </c>
      <c r="E7" s="10" t="str">
        <f t="shared" si="3"/>
        <v>0</v>
      </c>
      <c r="F7" s="11" t="str">
        <f t="shared" si="4"/>
        <v>0</v>
      </c>
      <c r="G7" s="9" t="str">
        <f t="shared" si="5"/>
        <v>0</v>
      </c>
      <c r="H7" s="10" t="str">
        <f t="shared" si="6"/>
        <v>0</v>
      </c>
      <c r="I7" s="10" t="str">
        <f t="shared" si="7"/>
        <v>0</v>
      </c>
      <c r="J7" s="10" t="str">
        <f t="shared" si="8"/>
        <v>0</v>
      </c>
      <c r="K7" s="10" t="str">
        <f t="shared" si="9"/>
        <v>1</v>
      </c>
      <c r="L7" s="10" t="str">
        <f t="shared" si="10"/>
        <v>0</v>
      </c>
      <c r="M7" s="10" t="str">
        <f t="shared" si="11"/>
        <v>0</v>
      </c>
      <c r="N7" s="10" t="str">
        <f t="shared" si="12"/>
        <v>0</v>
      </c>
      <c r="O7" s="10" t="str">
        <f t="shared" si="13"/>
        <v>0</v>
      </c>
      <c r="P7" s="10" t="str">
        <f t="shared" si="14"/>
        <v>0</v>
      </c>
      <c r="Q7" s="10" t="str">
        <f t="shared" si="15"/>
        <v>0</v>
      </c>
      <c r="R7" s="10" t="str">
        <f t="shared" si="16"/>
        <v>0</v>
      </c>
      <c r="S7" s="10" t="str">
        <f t="shared" si="17"/>
        <v>0</v>
      </c>
      <c r="T7" s="10" t="str">
        <f t="shared" si="18"/>
        <v>0</v>
      </c>
      <c r="U7" s="10" t="str">
        <f t="shared" si="19"/>
        <v>0</v>
      </c>
      <c r="V7" s="10" t="str">
        <f t="shared" si="20"/>
        <v>0</v>
      </c>
      <c r="W7" s="10" t="str">
        <f t="shared" si="21"/>
        <v>0</v>
      </c>
      <c r="X7" s="10" t="str">
        <f t="shared" si="22"/>
        <v>0</v>
      </c>
      <c r="Y7" s="11" t="str">
        <f t="shared" si="23"/>
        <v>0</v>
      </c>
      <c r="Z7" s="20">
        <v>2</v>
      </c>
      <c r="AA7" s="18" t="s">
        <v>2</v>
      </c>
      <c r="AB7" s="33">
        <v>2</v>
      </c>
      <c r="AC7" s="75" t="s">
        <v>0</v>
      </c>
      <c r="AD7" s="33"/>
      <c r="AE7" s="34"/>
      <c r="AH7" s="1"/>
    </row>
    <row r="8" spans="1:34" x14ac:dyDescent="0.25">
      <c r="A8" s="31" t="s">
        <v>30</v>
      </c>
      <c r="B8" s="29" t="str">
        <f t="shared" si="0"/>
        <v>0</v>
      </c>
      <c r="C8" s="10" t="str">
        <f t="shared" si="1"/>
        <v>6</v>
      </c>
      <c r="D8" s="10" t="str">
        <f t="shared" si="2"/>
        <v>0</v>
      </c>
      <c r="E8" s="10" t="str">
        <f t="shared" si="3"/>
        <v>0</v>
      </c>
      <c r="F8" s="11" t="str">
        <f t="shared" si="4"/>
        <v>0</v>
      </c>
      <c r="G8" s="9" t="str">
        <f t="shared" si="5"/>
        <v>0</v>
      </c>
      <c r="H8" s="10" t="str">
        <f t="shared" si="6"/>
        <v>0</v>
      </c>
      <c r="I8" s="10" t="str">
        <f t="shared" si="7"/>
        <v>0</v>
      </c>
      <c r="J8" s="10" t="str">
        <f t="shared" si="8"/>
        <v>0</v>
      </c>
      <c r="K8" s="10" t="str">
        <f t="shared" si="9"/>
        <v>1</v>
      </c>
      <c r="L8" s="10" t="str">
        <f t="shared" si="10"/>
        <v>1</v>
      </c>
      <c r="M8" s="10" t="str">
        <f t="shared" si="11"/>
        <v>0</v>
      </c>
      <c r="N8" s="10" t="str">
        <f t="shared" si="12"/>
        <v>0</v>
      </c>
      <c r="O8" s="10" t="str">
        <f t="shared" si="13"/>
        <v>0</v>
      </c>
      <c r="P8" s="10" t="str">
        <f t="shared" si="14"/>
        <v>0</v>
      </c>
      <c r="Q8" s="10" t="str">
        <f t="shared" si="15"/>
        <v>0</v>
      </c>
      <c r="R8" s="10" t="str">
        <f t="shared" si="16"/>
        <v>0</v>
      </c>
      <c r="S8" s="10" t="str">
        <f t="shared" si="17"/>
        <v>0</v>
      </c>
      <c r="T8" s="10" t="str">
        <f t="shared" si="18"/>
        <v>0</v>
      </c>
      <c r="U8" s="10" t="str">
        <f t="shared" si="19"/>
        <v>0</v>
      </c>
      <c r="V8" s="10" t="str">
        <f t="shared" si="20"/>
        <v>0</v>
      </c>
      <c r="W8" s="10" t="str">
        <f t="shared" si="21"/>
        <v>0</v>
      </c>
      <c r="X8" s="10" t="str">
        <f t="shared" si="22"/>
        <v>0</v>
      </c>
      <c r="Y8" s="11" t="str">
        <f t="shared" si="23"/>
        <v>0</v>
      </c>
      <c r="Z8" s="20">
        <v>3</v>
      </c>
      <c r="AA8" s="18" t="s">
        <v>2</v>
      </c>
      <c r="AB8" s="33"/>
      <c r="AC8" s="75"/>
      <c r="AD8" s="33"/>
      <c r="AE8" s="34"/>
      <c r="AH8" s="1"/>
    </row>
    <row r="9" spans="1:34" x14ac:dyDescent="0.25">
      <c r="A9" s="31" t="s">
        <v>31</v>
      </c>
      <c r="B9" s="29" t="str">
        <f t="shared" si="0"/>
        <v>0</v>
      </c>
      <c r="C9" s="10" t="str">
        <f t="shared" si="1"/>
        <v>8</v>
      </c>
      <c r="D9" s="10" t="str">
        <f t="shared" si="2"/>
        <v>0</v>
      </c>
      <c r="E9" s="10" t="str">
        <f t="shared" si="3"/>
        <v>0</v>
      </c>
      <c r="F9" s="11" t="str">
        <f t="shared" si="4"/>
        <v>0</v>
      </c>
      <c r="G9" s="9" t="str">
        <f t="shared" si="5"/>
        <v>0</v>
      </c>
      <c r="H9" s="10" t="str">
        <f t="shared" si="6"/>
        <v>0</v>
      </c>
      <c r="I9" s="10" t="str">
        <f t="shared" si="7"/>
        <v>0</v>
      </c>
      <c r="J9" s="10" t="str">
        <f t="shared" si="8"/>
        <v>1</v>
      </c>
      <c r="K9" s="10" t="str">
        <f t="shared" si="9"/>
        <v>0</v>
      </c>
      <c r="L9" s="10" t="str">
        <f t="shared" si="10"/>
        <v>0</v>
      </c>
      <c r="M9" s="10" t="str">
        <f t="shared" si="11"/>
        <v>0</v>
      </c>
      <c r="N9" s="10" t="str">
        <f t="shared" si="12"/>
        <v>0</v>
      </c>
      <c r="O9" s="10" t="str">
        <f t="shared" si="13"/>
        <v>0</v>
      </c>
      <c r="P9" s="10" t="str">
        <f t="shared" si="14"/>
        <v>0</v>
      </c>
      <c r="Q9" s="10" t="str">
        <f t="shared" si="15"/>
        <v>0</v>
      </c>
      <c r="R9" s="10" t="str">
        <f t="shared" si="16"/>
        <v>0</v>
      </c>
      <c r="S9" s="10" t="str">
        <f t="shared" si="17"/>
        <v>0</v>
      </c>
      <c r="T9" s="10" t="str">
        <f t="shared" si="18"/>
        <v>0</v>
      </c>
      <c r="U9" s="10" t="str">
        <f t="shared" si="19"/>
        <v>0</v>
      </c>
      <c r="V9" s="10" t="str">
        <f t="shared" si="20"/>
        <v>0</v>
      </c>
      <c r="W9" s="10" t="str">
        <f t="shared" si="21"/>
        <v>0</v>
      </c>
      <c r="X9" s="10" t="str">
        <f t="shared" si="22"/>
        <v>0</v>
      </c>
      <c r="Y9" s="11" t="str">
        <f t="shared" si="23"/>
        <v>0</v>
      </c>
      <c r="Z9" s="21">
        <v>4</v>
      </c>
      <c r="AA9" s="18" t="s">
        <v>2</v>
      </c>
      <c r="AB9" s="33">
        <v>4</v>
      </c>
      <c r="AC9" s="75" t="s">
        <v>0</v>
      </c>
      <c r="AD9" s="33">
        <v>4</v>
      </c>
      <c r="AE9" s="34" t="s">
        <v>1</v>
      </c>
      <c r="AH9" s="1"/>
    </row>
    <row r="10" spans="1:34" x14ac:dyDescent="0.25">
      <c r="A10" s="31" t="s">
        <v>32</v>
      </c>
      <c r="B10" s="29" t="str">
        <f t="shared" si="0"/>
        <v>0</v>
      </c>
      <c r="C10" s="10" t="str">
        <f t="shared" si="1"/>
        <v>A</v>
      </c>
      <c r="D10" s="10" t="str">
        <f t="shared" si="2"/>
        <v>0</v>
      </c>
      <c r="E10" s="10" t="str">
        <f t="shared" si="3"/>
        <v>0</v>
      </c>
      <c r="F10" s="11" t="str">
        <f t="shared" si="4"/>
        <v>0</v>
      </c>
      <c r="G10" s="9" t="str">
        <f t="shared" si="5"/>
        <v>0</v>
      </c>
      <c r="H10" s="10" t="str">
        <f t="shared" si="6"/>
        <v>0</v>
      </c>
      <c r="I10" s="10" t="str">
        <f t="shared" si="7"/>
        <v>0</v>
      </c>
      <c r="J10" s="10" t="str">
        <f t="shared" si="8"/>
        <v>1</v>
      </c>
      <c r="K10" s="10" t="str">
        <f t="shared" si="9"/>
        <v>0</v>
      </c>
      <c r="L10" s="10" t="str">
        <f t="shared" si="10"/>
        <v>1</v>
      </c>
      <c r="M10" s="10" t="str">
        <f t="shared" si="11"/>
        <v>0</v>
      </c>
      <c r="N10" s="10" t="str">
        <f t="shared" si="12"/>
        <v>0</v>
      </c>
      <c r="O10" s="10" t="str">
        <f t="shared" si="13"/>
        <v>0</v>
      </c>
      <c r="P10" s="10" t="str">
        <f t="shared" si="14"/>
        <v>0</v>
      </c>
      <c r="Q10" s="10" t="str">
        <f t="shared" si="15"/>
        <v>0</v>
      </c>
      <c r="R10" s="10" t="str">
        <f t="shared" si="16"/>
        <v>0</v>
      </c>
      <c r="S10" s="10" t="str">
        <f t="shared" si="17"/>
        <v>0</v>
      </c>
      <c r="T10" s="10" t="str">
        <f t="shared" si="18"/>
        <v>0</v>
      </c>
      <c r="U10" s="10" t="str">
        <f t="shared" si="19"/>
        <v>0</v>
      </c>
      <c r="V10" s="10" t="str">
        <f t="shared" si="20"/>
        <v>0</v>
      </c>
      <c r="W10" s="10" t="str">
        <f t="shared" si="21"/>
        <v>0</v>
      </c>
      <c r="X10" s="10" t="str">
        <f t="shared" si="22"/>
        <v>0</v>
      </c>
      <c r="Y10" s="11" t="str">
        <f t="shared" si="23"/>
        <v>0</v>
      </c>
      <c r="Z10" s="20">
        <v>5</v>
      </c>
      <c r="AA10" s="18" t="s">
        <v>2</v>
      </c>
      <c r="AB10" s="33"/>
      <c r="AC10" s="75"/>
      <c r="AD10" s="33"/>
      <c r="AE10" s="34"/>
      <c r="AH10" s="1"/>
    </row>
    <row r="11" spans="1:34" x14ac:dyDescent="0.25">
      <c r="A11" s="31" t="s">
        <v>33</v>
      </c>
      <c r="B11" s="29" t="str">
        <f t="shared" si="0"/>
        <v>0</v>
      </c>
      <c r="C11" s="10" t="str">
        <f t="shared" si="1"/>
        <v>C</v>
      </c>
      <c r="D11" s="10" t="str">
        <f t="shared" si="2"/>
        <v>0</v>
      </c>
      <c r="E11" s="10" t="str">
        <f t="shared" si="3"/>
        <v>0</v>
      </c>
      <c r="F11" s="11" t="str">
        <f t="shared" si="4"/>
        <v>0</v>
      </c>
      <c r="G11" s="9" t="str">
        <f t="shared" si="5"/>
        <v>0</v>
      </c>
      <c r="H11" s="10" t="str">
        <f t="shared" si="6"/>
        <v>0</v>
      </c>
      <c r="I11" s="10" t="str">
        <f t="shared" si="7"/>
        <v>0</v>
      </c>
      <c r="J11" s="10" t="str">
        <f t="shared" si="8"/>
        <v>1</v>
      </c>
      <c r="K11" s="10" t="str">
        <f t="shared" si="9"/>
        <v>1</v>
      </c>
      <c r="L11" s="10" t="str">
        <f t="shared" si="10"/>
        <v>0</v>
      </c>
      <c r="M11" s="10" t="str">
        <f t="shared" si="11"/>
        <v>0</v>
      </c>
      <c r="N11" s="10" t="str">
        <f t="shared" si="12"/>
        <v>0</v>
      </c>
      <c r="O11" s="10" t="str">
        <f t="shared" si="13"/>
        <v>0</v>
      </c>
      <c r="P11" s="10" t="str">
        <f t="shared" si="14"/>
        <v>0</v>
      </c>
      <c r="Q11" s="10" t="str">
        <f t="shared" si="15"/>
        <v>0</v>
      </c>
      <c r="R11" s="10" t="str">
        <f t="shared" si="16"/>
        <v>0</v>
      </c>
      <c r="S11" s="10" t="str">
        <f t="shared" si="17"/>
        <v>0</v>
      </c>
      <c r="T11" s="10" t="str">
        <f t="shared" si="18"/>
        <v>0</v>
      </c>
      <c r="U11" s="10" t="str">
        <f t="shared" si="19"/>
        <v>0</v>
      </c>
      <c r="V11" s="10" t="str">
        <f t="shared" si="20"/>
        <v>0</v>
      </c>
      <c r="W11" s="10" t="str">
        <f t="shared" si="21"/>
        <v>0</v>
      </c>
      <c r="X11" s="10" t="str">
        <f t="shared" si="22"/>
        <v>0</v>
      </c>
      <c r="Y11" s="11" t="str">
        <f t="shared" si="23"/>
        <v>0</v>
      </c>
      <c r="Z11" s="20">
        <v>6</v>
      </c>
      <c r="AA11" s="18" t="s">
        <v>2</v>
      </c>
      <c r="AB11" s="33">
        <v>6</v>
      </c>
      <c r="AC11" s="75" t="s">
        <v>0</v>
      </c>
      <c r="AD11" s="33"/>
      <c r="AE11" s="34"/>
      <c r="AH11" s="1"/>
    </row>
    <row r="12" spans="1:34" x14ac:dyDescent="0.25">
      <c r="A12" s="31" t="s">
        <v>34</v>
      </c>
      <c r="B12" s="29" t="str">
        <f t="shared" si="0"/>
        <v>0</v>
      </c>
      <c r="C12" s="10" t="str">
        <f t="shared" si="1"/>
        <v>E</v>
      </c>
      <c r="D12" s="10" t="str">
        <f t="shared" si="2"/>
        <v>0</v>
      </c>
      <c r="E12" s="10" t="str">
        <f t="shared" si="3"/>
        <v>0</v>
      </c>
      <c r="F12" s="11" t="str">
        <f t="shared" si="4"/>
        <v>0</v>
      </c>
      <c r="G12" s="9" t="str">
        <f t="shared" si="5"/>
        <v>0</v>
      </c>
      <c r="H12" s="10" t="str">
        <f t="shared" si="6"/>
        <v>0</v>
      </c>
      <c r="I12" s="10" t="str">
        <f t="shared" si="7"/>
        <v>0</v>
      </c>
      <c r="J12" s="10" t="str">
        <f t="shared" si="8"/>
        <v>1</v>
      </c>
      <c r="K12" s="10" t="str">
        <f t="shared" si="9"/>
        <v>1</v>
      </c>
      <c r="L12" s="10" t="str">
        <f t="shared" si="10"/>
        <v>1</v>
      </c>
      <c r="M12" s="10" t="str">
        <f t="shared" si="11"/>
        <v>0</v>
      </c>
      <c r="N12" s="10" t="str">
        <f t="shared" si="12"/>
        <v>0</v>
      </c>
      <c r="O12" s="10" t="str">
        <f t="shared" si="13"/>
        <v>0</v>
      </c>
      <c r="P12" s="10" t="str">
        <f t="shared" si="14"/>
        <v>0</v>
      </c>
      <c r="Q12" s="10" t="str">
        <f t="shared" si="15"/>
        <v>0</v>
      </c>
      <c r="R12" s="10" t="str">
        <f t="shared" si="16"/>
        <v>0</v>
      </c>
      <c r="S12" s="10" t="str">
        <f t="shared" si="17"/>
        <v>0</v>
      </c>
      <c r="T12" s="10" t="str">
        <f t="shared" si="18"/>
        <v>0</v>
      </c>
      <c r="U12" s="10" t="str">
        <f t="shared" si="19"/>
        <v>0</v>
      </c>
      <c r="V12" s="10" t="str">
        <f t="shared" si="20"/>
        <v>0</v>
      </c>
      <c r="W12" s="10" t="str">
        <f t="shared" si="21"/>
        <v>0</v>
      </c>
      <c r="X12" s="10" t="str">
        <f t="shared" si="22"/>
        <v>0</v>
      </c>
      <c r="Y12" s="11" t="str">
        <f t="shared" si="23"/>
        <v>0</v>
      </c>
      <c r="Z12" s="21">
        <v>7</v>
      </c>
      <c r="AA12" s="18" t="s">
        <v>2</v>
      </c>
      <c r="AB12" s="33"/>
      <c r="AC12" s="75"/>
      <c r="AD12" s="33"/>
      <c r="AE12" s="34"/>
      <c r="AH12" s="1"/>
    </row>
    <row r="13" spans="1:34" x14ac:dyDescent="0.25">
      <c r="A13" s="31" t="s">
        <v>35</v>
      </c>
      <c r="B13" s="29" t="str">
        <f t="shared" si="0"/>
        <v>1</v>
      </c>
      <c r="C13" s="10" t="str">
        <f t="shared" si="1"/>
        <v>0</v>
      </c>
      <c r="D13" s="10" t="str">
        <f t="shared" si="2"/>
        <v>0</v>
      </c>
      <c r="E13" s="10" t="str">
        <f t="shared" si="3"/>
        <v>0</v>
      </c>
      <c r="F13" s="11" t="str">
        <f t="shared" si="4"/>
        <v>0</v>
      </c>
      <c r="G13" s="9" t="str">
        <f t="shared" si="5"/>
        <v>0</v>
      </c>
      <c r="H13" s="10" t="str">
        <f t="shared" si="6"/>
        <v>0</v>
      </c>
      <c r="I13" s="10" t="str">
        <f t="shared" si="7"/>
        <v>1</v>
      </c>
      <c r="J13" s="10" t="str">
        <f t="shared" si="8"/>
        <v>0</v>
      </c>
      <c r="K13" s="10" t="str">
        <f t="shared" si="9"/>
        <v>0</v>
      </c>
      <c r="L13" s="10" t="str">
        <f t="shared" si="10"/>
        <v>0</v>
      </c>
      <c r="M13" s="10" t="str">
        <f t="shared" si="11"/>
        <v>0</v>
      </c>
      <c r="N13" s="10" t="str">
        <f t="shared" si="12"/>
        <v>0</v>
      </c>
      <c r="O13" s="10" t="str">
        <f t="shared" si="13"/>
        <v>0</v>
      </c>
      <c r="P13" s="10" t="str">
        <f t="shared" si="14"/>
        <v>0</v>
      </c>
      <c r="Q13" s="10" t="str">
        <f t="shared" si="15"/>
        <v>0</v>
      </c>
      <c r="R13" s="10" t="str">
        <f t="shared" si="16"/>
        <v>0</v>
      </c>
      <c r="S13" s="10" t="str">
        <f t="shared" si="17"/>
        <v>0</v>
      </c>
      <c r="T13" s="10" t="str">
        <f t="shared" si="18"/>
        <v>0</v>
      </c>
      <c r="U13" s="10" t="str">
        <f t="shared" si="19"/>
        <v>0</v>
      </c>
      <c r="V13" s="10" t="str">
        <f t="shared" si="20"/>
        <v>0</v>
      </c>
      <c r="W13" s="10" t="str">
        <f t="shared" si="21"/>
        <v>0</v>
      </c>
      <c r="X13" s="10" t="str">
        <f t="shared" si="22"/>
        <v>0</v>
      </c>
      <c r="Y13" s="11" t="str">
        <f t="shared" si="23"/>
        <v>0</v>
      </c>
      <c r="Z13" s="20">
        <v>8</v>
      </c>
      <c r="AA13" s="18" t="s">
        <v>2</v>
      </c>
      <c r="AB13" s="33">
        <v>8</v>
      </c>
      <c r="AC13" s="75" t="s">
        <v>0</v>
      </c>
      <c r="AD13" s="33">
        <v>8</v>
      </c>
      <c r="AE13" s="34" t="s">
        <v>1</v>
      </c>
      <c r="AH13" s="1"/>
    </row>
    <row r="14" spans="1:34" x14ac:dyDescent="0.25">
      <c r="A14" s="31" t="s">
        <v>36</v>
      </c>
      <c r="B14" s="29" t="str">
        <f t="shared" si="0"/>
        <v>1</v>
      </c>
      <c r="C14" s="10" t="str">
        <f t="shared" si="1"/>
        <v>2</v>
      </c>
      <c r="D14" s="10" t="str">
        <f t="shared" si="2"/>
        <v>0</v>
      </c>
      <c r="E14" s="10" t="str">
        <f t="shared" si="3"/>
        <v>0</v>
      </c>
      <c r="F14" s="11" t="str">
        <f t="shared" si="4"/>
        <v>0</v>
      </c>
      <c r="G14" s="9" t="str">
        <f t="shared" si="5"/>
        <v>0</v>
      </c>
      <c r="H14" s="10" t="str">
        <f t="shared" si="6"/>
        <v>0</v>
      </c>
      <c r="I14" s="10" t="str">
        <f t="shared" si="7"/>
        <v>1</v>
      </c>
      <c r="J14" s="10" t="str">
        <f t="shared" si="8"/>
        <v>0</v>
      </c>
      <c r="K14" s="10" t="str">
        <f t="shared" si="9"/>
        <v>0</v>
      </c>
      <c r="L14" s="10" t="str">
        <f t="shared" si="10"/>
        <v>1</v>
      </c>
      <c r="M14" s="10" t="str">
        <f t="shared" si="11"/>
        <v>0</v>
      </c>
      <c r="N14" s="10" t="str">
        <f t="shared" si="12"/>
        <v>0</v>
      </c>
      <c r="O14" s="10" t="str">
        <f t="shared" si="13"/>
        <v>0</v>
      </c>
      <c r="P14" s="10" t="str">
        <f t="shared" si="14"/>
        <v>0</v>
      </c>
      <c r="Q14" s="10" t="str">
        <f t="shared" si="15"/>
        <v>0</v>
      </c>
      <c r="R14" s="10" t="str">
        <f t="shared" si="16"/>
        <v>0</v>
      </c>
      <c r="S14" s="10" t="str">
        <f t="shared" si="17"/>
        <v>0</v>
      </c>
      <c r="T14" s="10" t="str">
        <f t="shared" si="18"/>
        <v>0</v>
      </c>
      <c r="U14" s="10" t="str">
        <f t="shared" si="19"/>
        <v>0</v>
      </c>
      <c r="V14" s="10" t="str">
        <f t="shared" si="20"/>
        <v>0</v>
      </c>
      <c r="W14" s="10" t="str">
        <f t="shared" si="21"/>
        <v>0</v>
      </c>
      <c r="X14" s="10" t="str">
        <f t="shared" si="22"/>
        <v>0</v>
      </c>
      <c r="Y14" s="11" t="str">
        <f t="shared" si="23"/>
        <v>0</v>
      </c>
      <c r="Z14" s="20">
        <v>9</v>
      </c>
      <c r="AA14" s="18" t="s">
        <v>2</v>
      </c>
      <c r="AB14" s="33"/>
      <c r="AC14" s="75"/>
      <c r="AD14" s="33"/>
      <c r="AE14" s="34"/>
      <c r="AH14" s="1"/>
    </row>
    <row r="15" spans="1:34" x14ac:dyDescent="0.25">
      <c r="A15" s="31" t="s">
        <v>37</v>
      </c>
      <c r="B15" s="29" t="str">
        <f t="shared" si="0"/>
        <v>1</v>
      </c>
      <c r="C15" s="10" t="str">
        <f t="shared" si="1"/>
        <v>4</v>
      </c>
      <c r="D15" s="10" t="str">
        <f t="shared" si="2"/>
        <v>0</v>
      </c>
      <c r="E15" s="10" t="str">
        <f t="shared" si="3"/>
        <v>0</v>
      </c>
      <c r="F15" s="11" t="str">
        <f t="shared" si="4"/>
        <v>0</v>
      </c>
      <c r="G15" s="9" t="str">
        <f t="shared" si="5"/>
        <v>0</v>
      </c>
      <c r="H15" s="10" t="str">
        <f t="shared" si="6"/>
        <v>0</v>
      </c>
      <c r="I15" s="10" t="str">
        <f t="shared" si="7"/>
        <v>1</v>
      </c>
      <c r="J15" s="10" t="str">
        <f t="shared" si="8"/>
        <v>0</v>
      </c>
      <c r="K15" s="10" t="str">
        <f t="shared" si="9"/>
        <v>1</v>
      </c>
      <c r="L15" s="10" t="str">
        <f t="shared" si="10"/>
        <v>0</v>
      </c>
      <c r="M15" s="10" t="str">
        <f t="shared" si="11"/>
        <v>0</v>
      </c>
      <c r="N15" s="10" t="str">
        <f t="shared" si="12"/>
        <v>0</v>
      </c>
      <c r="O15" s="10" t="str">
        <f t="shared" si="13"/>
        <v>0</v>
      </c>
      <c r="P15" s="10" t="str">
        <f t="shared" si="14"/>
        <v>0</v>
      </c>
      <c r="Q15" s="10" t="str">
        <f t="shared" si="15"/>
        <v>0</v>
      </c>
      <c r="R15" s="10" t="str">
        <f t="shared" si="16"/>
        <v>0</v>
      </c>
      <c r="S15" s="10" t="str">
        <f t="shared" si="17"/>
        <v>0</v>
      </c>
      <c r="T15" s="10" t="str">
        <f t="shared" si="18"/>
        <v>0</v>
      </c>
      <c r="U15" s="10" t="str">
        <f t="shared" si="19"/>
        <v>0</v>
      </c>
      <c r="V15" s="10" t="str">
        <f t="shared" si="20"/>
        <v>0</v>
      </c>
      <c r="W15" s="10" t="str">
        <f t="shared" si="21"/>
        <v>0</v>
      </c>
      <c r="X15" s="10" t="str">
        <f t="shared" si="22"/>
        <v>0</v>
      </c>
      <c r="Y15" s="11" t="str">
        <f t="shared" si="23"/>
        <v>0</v>
      </c>
      <c r="Z15" s="20">
        <v>10</v>
      </c>
      <c r="AA15" s="18" t="s">
        <v>2</v>
      </c>
      <c r="AB15" s="33">
        <v>10</v>
      </c>
      <c r="AC15" s="75" t="s">
        <v>0</v>
      </c>
      <c r="AD15" s="33"/>
      <c r="AE15" s="34"/>
      <c r="AH15" s="1"/>
    </row>
    <row r="16" spans="1:34" x14ac:dyDescent="0.25">
      <c r="A16" s="31" t="s">
        <v>38</v>
      </c>
      <c r="B16" s="29" t="str">
        <f t="shared" si="0"/>
        <v>1</v>
      </c>
      <c r="C16" s="10" t="str">
        <f t="shared" si="1"/>
        <v>6</v>
      </c>
      <c r="D16" s="10" t="str">
        <f t="shared" si="2"/>
        <v>0</v>
      </c>
      <c r="E16" s="10" t="str">
        <f t="shared" si="3"/>
        <v>0</v>
      </c>
      <c r="F16" s="11" t="str">
        <f t="shared" si="4"/>
        <v>0</v>
      </c>
      <c r="G16" s="9" t="str">
        <f t="shared" si="5"/>
        <v>0</v>
      </c>
      <c r="H16" s="10" t="str">
        <f t="shared" si="6"/>
        <v>0</v>
      </c>
      <c r="I16" s="10" t="str">
        <f t="shared" si="7"/>
        <v>1</v>
      </c>
      <c r="J16" s="10" t="str">
        <f t="shared" si="8"/>
        <v>0</v>
      </c>
      <c r="K16" s="10" t="str">
        <f t="shared" si="9"/>
        <v>1</v>
      </c>
      <c r="L16" s="10" t="str">
        <f t="shared" si="10"/>
        <v>1</v>
      </c>
      <c r="M16" s="10" t="str">
        <f t="shared" si="11"/>
        <v>0</v>
      </c>
      <c r="N16" s="10" t="str">
        <f t="shared" si="12"/>
        <v>0</v>
      </c>
      <c r="O16" s="10" t="str">
        <f t="shared" si="13"/>
        <v>0</v>
      </c>
      <c r="P16" s="10" t="str">
        <f t="shared" si="14"/>
        <v>0</v>
      </c>
      <c r="Q16" s="10" t="str">
        <f t="shared" si="15"/>
        <v>0</v>
      </c>
      <c r="R16" s="10" t="str">
        <f t="shared" si="16"/>
        <v>0</v>
      </c>
      <c r="S16" s="10" t="str">
        <f t="shared" si="17"/>
        <v>0</v>
      </c>
      <c r="T16" s="10" t="str">
        <f t="shared" si="18"/>
        <v>0</v>
      </c>
      <c r="U16" s="10" t="str">
        <f t="shared" si="19"/>
        <v>0</v>
      </c>
      <c r="V16" s="10" t="str">
        <f t="shared" si="20"/>
        <v>0</v>
      </c>
      <c r="W16" s="10" t="str">
        <f t="shared" si="21"/>
        <v>0</v>
      </c>
      <c r="X16" s="10" t="str">
        <f t="shared" si="22"/>
        <v>0</v>
      </c>
      <c r="Y16" s="11" t="str">
        <f t="shared" si="23"/>
        <v>0</v>
      </c>
      <c r="Z16" s="21">
        <v>11</v>
      </c>
      <c r="AA16" s="18" t="s">
        <v>2</v>
      </c>
      <c r="AB16" s="33"/>
      <c r="AC16" s="75"/>
      <c r="AD16" s="33"/>
      <c r="AE16" s="34"/>
      <c r="AH16" s="1"/>
    </row>
    <row r="17" spans="1:34" x14ac:dyDescent="0.25">
      <c r="A17" s="31" t="s">
        <v>39</v>
      </c>
      <c r="B17" s="29" t="str">
        <f t="shared" si="0"/>
        <v>1</v>
      </c>
      <c r="C17" s="10" t="str">
        <f t="shared" si="1"/>
        <v>8</v>
      </c>
      <c r="D17" s="10" t="str">
        <f t="shared" si="2"/>
        <v>0</v>
      </c>
      <c r="E17" s="10" t="str">
        <f t="shared" si="3"/>
        <v>0</v>
      </c>
      <c r="F17" s="11" t="str">
        <f t="shared" si="4"/>
        <v>0</v>
      </c>
      <c r="G17" s="9" t="str">
        <f t="shared" si="5"/>
        <v>0</v>
      </c>
      <c r="H17" s="10" t="str">
        <f t="shared" si="6"/>
        <v>0</v>
      </c>
      <c r="I17" s="10" t="str">
        <f t="shared" si="7"/>
        <v>1</v>
      </c>
      <c r="J17" s="10" t="str">
        <f t="shared" si="8"/>
        <v>1</v>
      </c>
      <c r="K17" s="10" t="str">
        <f t="shared" si="9"/>
        <v>0</v>
      </c>
      <c r="L17" s="10" t="str">
        <f t="shared" si="10"/>
        <v>0</v>
      </c>
      <c r="M17" s="10" t="str">
        <f t="shared" si="11"/>
        <v>0</v>
      </c>
      <c r="N17" s="10" t="str">
        <f t="shared" si="12"/>
        <v>0</v>
      </c>
      <c r="O17" s="10" t="str">
        <f t="shared" si="13"/>
        <v>0</v>
      </c>
      <c r="P17" s="10" t="str">
        <f t="shared" si="14"/>
        <v>0</v>
      </c>
      <c r="Q17" s="10" t="str">
        <f t="shared" si="15"/>
        <v>0</v>
      </c>
      <c r="R17" s="10" t="str">
        <f t="shared" si="16"/>
        <v>0</v>
      </c>
      <c r="S17" s="10" t="str">
        <f t="shared" si="17"/>
        <v>0</v>
      </c>
      <c r="T17" s="10" t="str">
        <f t="shared" si="18"/>
        <v>0</v>
      </c>
      <c r="U17" s="10" t="str">
        <f t="shared" si="19"/>
        <v>0</v>
      </c>
      <c r="V17" s="10" t="str">
        <f t="shared" si="20"/>
        <v>0</v>
      </c>
      <c r="W17" s="10" t="str">
        <f t="shared" si="21"/>
        <v>0</v>
      </c>
      <c r="X17" s="10" t="str">
        <f t="shared" si="22"/>
        <v>0</v>
      </c>
      <c r="Y17" s="11" t="str">
        <f t="shared" si="23"/>
        <v>0</v>
      </c>
      <c r="Z17" s="20">
        <v>12</v>
      </c>
      <c r="AA17" s="18" t="s">
        <v>2</v>
      </c>
      <c r="AB17" s="33">
        <v>12</v>
      </c>
      <c r="AC17" s="75" t="s">
        <v>0</v>
      </c>
      <c r="AD17" s="33">
        <v>12</v>
      </c>
      <c r="AE17" s="34" t="s">
        <v>1</v>
      </c>
      <c r="AH17" s="1"/>
    </row>
    <row r="18" spans="1:34" x14ac:dyDescent="0.25">
      <c r="A18" s="31" t="s">
        <v>40</v>
      </c>
      <c r="B18" s="29" t="str">
        <f t="shared" si="0"/>
        <v>1</v>
      </c>
      <c r="C18" s="10" t="str">
        <f t="shared" si="1"/>
        <v>A</v>
      </c>
      <c r="D18" s="10" t="str">
        <f t="shared" si="2"/>
        <v>0</v>
      </c>
      <c r="E18" s="10" t="str">
        <f t="shared" si="3"/>
        <v>0</v>
      </c>
      <c r="F18" s="11" t="str">
        <f t="shared" si="4"/>
        <v>0</v>
      </c>
      <c r="G18" s="9" t="str">
        <f t="shared" si="5"/>
        <v>0</v>
      </c>
      <c r="H18" s="10" t="str">
        <f t="shared" si="6"/>
        <v>0</v>
      </c>
      <c r="I18" s="10" t="str">
        <f t="shared" si="7"/>
        <v>1</v>
      </c>
      <c r="J18" s="10" t="str">
        <f t="shared" si="8"/>
        <v>1</v>
      </c>
      <c r="K18" s="10" t="str">
        <f t="shared" si="9"/>
        <v>0</v>
      </c>
      <c r="L18" s="10" t="str">
        <f t="shared" si="10"/>
        <v>1</v>
      </c>
      <c r="M18" s="10" t="str">
        <f t="shared" si="11"/>
        <v>0</v>
      </c>
      <c r="N18" s="10" t="str">
        <f t="shared" si="12"/>
        <v>0</v>
      </c>
      <c r="O18" s="10" t="str">
        <f t="shared" si="13"/>
        <v>0</v>
      </c>
      <c r="P18" s="10" t="str">
        <f t="shared" si="14"/>
        <v>0</v>
      </c>
      <c r="Q18" s="10" t="str">
        <f t="shared" si="15"/>
        <v>0</v>
      </c>
      <c r="R18" s="10" t="str">
        <f t="shared" si="16"/>
        <v>0</v>
      </c>
      <c r="S18" s="10" t="str">
        <f t="shared" si="17"/>
        <v>0</v>
      </c>
      <c r="T18" s="10" t="str">
        <f t="shared" si="18"/>
        <v>0</v>
      </c>
      <c r="U18" s="10" t="str">
        <f t="shared" si="19"/>
        <v>0</v>
      </c>
      <c r="V18" s="10" t="str">
        <f t="shared" si="20"/>
        <v>0</v>
      </c>
      <c r="W18" s="10" t="str">
        <f t="shared" si="21"/>
        <v>0</v>
      </c>
      <c r="X18" s="10" t="str">
        <f t="shared" si="22"/>
        <v>0</v>
      </c>
      <c r="Y18" s="11" t="str">
        <f t="shared" si="23"/>
        <v>0</v>
      </c>
      <c r="Z18" s="20">
        <v>13</v>
      </c>
      <c r="AA18" s="18" t="s">
        <v>2</v>
      </c>
      <c r="AB18" s="33"/>
      <c r="AC18" s="75"/>
      <c r="AD18" s="33"/>
      <c r="AE18" s="34"/>
      <c r="AH18" s="1"/>
    </row>
    <row r="19" spans="1:34" x14ac:dyDescent="0.25">
      <c r="A19" s="31" t="s">
        <v>41</v>
      </c>
      <c r="B19" s="29" t="str">
        <f t="shared" si="0"/>
        <v>1</v>
      </c>
      <c r="C19" s="10" t="str">
        <f t="shared" si="1"/>
        <v>C</v>
      </c>
      <c r="D19" s="10" t="str">
        <f t="shared" si="2"/>
        <v>0</v>
      </c>
      <c r="E19" s="10" t="str">
        <f t="shared" si="3"/>
        <v>0</v>
      </c>
      <c r="F19" s="11" t="str">
        <f t="shared" si="4"/>
        <v>0</v>
      </c>
      <c r="G19" s="9" t="str">
        <f t="shared" si="5"/>
        <v>0</v>
      </c>
      <c r="H19" s="10" t="str">
        <f t="shared" si="6"/>
        <v>0</v>
      </c>
      <c r="I19" s="10" t="str">
        <f t="shared" si="7"/>
        <v>1</v>
      </c>
      <c r="J19" s="10" t="str">
        <f t="shared" si="8"/>
        <v>1</v>
      </c>
      <c r="K19" s="10" t="str">
        <f t="shared" si="9"/>
        <v>1</v>
      </c>
      <c r="L19" s="10" t="str">
        <f t="shared" si="10"/>
        <v>0</v>
      </c>
      <c r="M19" s="10" t="str">
        <f t="shared" si="11"/>
        <v>0</v>
      </c>
      <c r="N19" s="10" t="str">
        <f t="shared" si="12"/>
        <v>0</v>
      </c>
      <c r="O19" s="10" t="str">
        <f t="shared" si="13"/>
        <v>0</v>
      </c>
      <c r="P19" s="10" t="str">
        <f t="shared" si="14"/>
        <v>0</v>
      </c>
      <c r="Q19" s="10" t="str">
        <f t="shared" si="15"/>
        <v>0</v>
      </c>
      <c r="R19" s="10" t="str">
        <f t="shared" si="16"/>
        <v>0</v>
      </c>
      <c r="S19" s="10" t="str">
        <f t="shared" si="17"/>
        <v>0</v>
      </c>
      <c r="T19" s="10" t="str">
        <f t="shared" si="18"/>
        <v>0</v>
      </c>
      <c r="U19" s="10" t="str">
        <f t="shared" si="19"/>
        <v>0</v>
      </c>
      <c r="V19" s="10" t="str">
        <f t="shared" si="20"/>
        <v>0</v>
      </c>
      <c r="W19" s="10" t="str">
        <f t="shared" si="21"/>
        <v>0</v>
      </c>
      <c r="X19" s="10" t="str">
        <f t="shared" si="22"/>
        <v>0</v>
      </c>
      <c r="Y19" s="11" t="str">
        <f t="shared" si="23"/>
        <v>0</v>
      </c>
      <c r="Z19" s="21">
        <v>14</v>
      </c>
      <c r="AA19" s="18" t="s">
        <v>2</v>
      </c>
      <c r="AB19" s="33">
        <v>14</v>
      </c>
      <c r="AC19" s="75" t="s">
        <v>0</v>
      </c>
      <c r="AD19" s="33"/>
      <c r="AE19" s="34"/>
      <c r="AH19" s="1"/>
    </row>
    <row r="20" spans="1:34" x14ac:dyDescent="0.25">
      <c r="A20" s="31" t="s">
        <v>42</v>
      </c>
      <c r="B20" s="29" t="str">
        <f t="shared" si="0"/>
        <v>1</v>
      </c>
      <c r="C20" s="10" t="str">
        <f t="shared" si="1"/>
        <v>E</v>
      </c>
      <c r="D20" s="10" t="str">
        <f t="shared" si="2"/>
        <v>0</v>
      </c>
      <c r="E20" s="10" t="str">
        <f t="shared" si="3"/>
        <v>0</v>
      </c>
      <c r="F20" s="11" t="str">
        <f t="shared" si="4"/>
        <v>0</v>
      </c>
      <c r="G20" s="9" t="str">
        <f t="shared" si="5"/>
        <v>0</v>
      </c>
      <c r="H20" s="10" t="str">
        <f t="shared" si="6"/>
        <v>0</v>
      </c>
      <c r="I20" s="10" t="str">
        <f t="shared" si="7"/>
        <v>1</v>
      </c>
      <c r="J20" s="10" t="str">
        <f t="shared" si="8"/>
        <v>1</v>
      </c>
      <c r="K20" s="10" t="str">
        <f t="shared" si="9"/>
        <v>1</v>
      </c>
      <c r="L20" s="10" t="str">
        <f t="shared" si="10"/>
        <v>1</v>
      </c>
      <c r="M20" s="10" t="str">
        <f t="shared" si="11"/>
        <v>0</v>
      </c>
      <c r="N20" s="10" t="str">
        <f t="shared" si="12"/>
        <v>0</v>
      </c>
      <c r="O20" s="10" t="str">
        <f t="shared" si="13"/>
        <v>0</v>
      </c>
      <c r="P20" s="10" t="str">
        <f t="shared" si="14"/>
        <v>0</v>
      </c>
      <c r="Q20" s="10" t="str">
        <f t="shared" si="15"/>
        <v>0</v>
      </c>
      <c r="R20" s="10" t="str">
        <f t="shared" si="16"/>
        <v>0</v>
      </c>
      <c r="S20" s="10" t="str">
        <f t="shared" si="17"/>
        <v>0</v>
      </c>
      <c r="T20" s="10" t="str">
        <f t="shared" si="18"/>
        <v>0</v>
      </c>
      <c r="U20" s="10" t="str">
        <f t="shared" si="19"/>
        <v>0</v>
      </c>
      <c r="V20" s="10" t="str">
        <f t="shared" si="20"/>
        <v>0</v>
      </c>
      <c r="W20" s="10" t="str">
        <f t="shared" si="21"/>
        <v>0</v>
      </c>
      <c r="X20" s="10" t="str">
        <f t="shared" si="22"/>
        <v>0</v>
      </c>
      <c r="Y20" s="11" t="str">
        <f t="shared" si="23"/>
        <v>0</v>
      </c>
      <c r="Z20" s="20">
        <v>15</v>
      </c>
      <c r="AA20" s="18" t="s">
        <v>2</v>
      </c>
      <c r="AB20" s="33"/>
      <c r="AC20" s="75"/>
      <c r="AD20" s="33"/>
      <c r="AE20" s="34"/>
      <c r="AH20" s="1"/>
    </row>
    <row r="21" spans="1:34" x14ac:dyDescent="0.25">
      <c r="A21" s="31" t="s">
        <v>43</v>
      </c>
      <c r="B21" s="29" t="str">
        <f t="shared" si="0"/>
        <v>2</v>
      </c>
      <c r="C21" s="10" t="str">
        <f t="shared" si="1"/>
        <v>0</v>
      </c>
      <c r="D21" s="10" t="str">
        <f t="shared" si="2"/>
        <v>0</v>
      </c>
      <c r="E21" s="10" t="str">
        <f t="shared" si="3"/>
        <v>0</v>
      </c>
      <c r="F21" s="11" t="str">
        <f t="shared" si="4"/>
        <v>0</v>
      </c>
      <c r="G21" s="9" t="str">
        <f t="shared" si="5"/>
        <v>0</v>
      </c>
      <c r="H21" s="10" t="str">
        <f t="shared" si="6"/>
        <v>1</v>
      </c>
      <c r="I21" s="10" t="str">
        <f t="shared" si="7"/>
        <v>0</v>
      </c>
      <c r="J21" s="10" t="str">
        <f t="shared" si="8"/>
        <v>0</v>
      </c>
      <c r="K21" s="10" t="str">
        <f t="shared" si="9"/>
        <v>0</v>
      </c>
      <c r="L21" s="10" t="str">
        <f t="shared" si="10"/>
        <v>0</v>
      </c>
      <c r="M21" s="10" t="str">
        <f t="shared" si="11"/>
        <v>0</v>
      </c>
      <c r="N21" s="10" t="str">
        <f t="shared" si="12"/>
        <v>0</v>
      </c>
      <c r="O21" s="10" t="str">
        <f t="shared" si="13"/>
        <v>0</v>
      </c>
      <c r="P21" s="10" t="str">
        <f t="shared" si="14"/>
        <v>0</v>
      </c>
      <c r="Q21" s="10" t="str">
        <f t="shared" si="15"/>
        <v>0</v>
      </c>
      <c r="R21" s="10" t="str">
        <f t="shared" si="16"/>
        <v>0</v>
      </c>
      <c r="S21" s="10" t="str">
        <f t="shared" si="17"/>
        <v>0</v>
      </c>
      <c r="T21" s="10" t="str">
        <f t="shared" si="18"/>
        <v>0</v>
      </c>
      <c r="U21" s="10" t="str">
        <f t="shared" si="19"/>
        <v>0</v>
      </c>
      <c r="V21" s="10" t="str">
        <f t="shared" si="20"/>
        <v>0</v>
      </c>
      <c r="W21" s="10" t="str">
        <f t="shared" si="21"/>
        <v>0</v>
      </c>
      <c r="X21" s="10" t="str">
        <f t="shared" si="22"/>
        <v>0</v>
      </c>
      <c r="Y21" s="11" t="str">
        <f t="shared" si="23"/>
        <v>0</v>
      </c>
      <c r="Z21" s="20">
        <v>16</v>
      </c>
      <c r="AA21" s="15" t="s">
        <v>2</v>
      </c>
      <c r="AB21" s="33">
        <v>16</v>
      </c>
      <c r="AC21" s="75" t="s">
        <v>0</v>
      </c>
      <c r="AD21" s="33">
        <v>16</v>
      </c>
      <c r="AE21" s="34" t="s">
        <v>1</v>
      </c>
      <c r="AH21" s="1"/>
    </row>
    <row r="22" spans="1:34" x14ac:dyDescent="0.25">
      <c r="A22" s="31" t="s">
        <v>44</v>
      </c>
      <c r="B22" s="29" t="str">
        <f t="shared" si="0"/>
        <v>2</v>
      </c>
      <c r="C22" s="10" t="str">
        <f t="shared" si="1"/>
        <v>2</v>
      </c>
      <c r="D22" s="10" t="str">
        <f t="shared" si="2"/>
        <v>0</v>
      </c>
      <c r="E22" s="10" t="str">
        <f t="shared" si="3"/>
        <v>0</v>
      </c>
      <c r="F22" s="11" t="str">
        <f t="shared" si="4"/>
        <v>0</v>
      </c>
      <c r="G22" s="9" t="str">
        <f t="shared" si="5"/>
        <v>0</v>
      </c>
      <c r="H22" s="10" t="str">
        <f t="shared" si="6"/>
        <v>1</v>
      </c>
      <c r="I22" s="10" t="str">
        <f t="shared" si="7"/>
        <v>0</v>
      </c>
      <c r="J22" s="10" t="str">
        <f t="shared" si="8"/>
        <v>0</v>
      </c>
      <c r="K22" s="10" t="str">
        <f t="shared" si="9"/>
        <v>0</v>
      </c>
      <c r="L22" s="10" t="str">
        <f t="shared" si="10"/>
        <v>1</v>
      </c>
      <c r="M22" s="10" t="str">
        <f t="shared" si="11"/>
        <v>0</v>
      </c>
      <c r="N22" s="10" t="str">
        <f t="shared" si="12"/>
        <v>0</v>
      </c>
      <c r="O22" s="10" t="str">
        <f t="shared" si="13"/>
        <v>0</v>
      </c>
      <c r="P22" s="10" t="str">
        <f t="shared" si="14"/>
        <v>0</v>
      </c>
      <c r="Q22" s="10" t="str">
        <f t="shared" si="15"/>
        <v>0</v>
      </c>
      <c r="R22" s="10" t="str">
        <f t="shared" si="16"/>
        <v>0</v>
      </c>
      <c r="S22" s="10" t="str">
        <f t="shared" si="17"/>
        <v>0</v>
      </c>
      <c r="T22" s="10" t="str">
        <f t="shared" si="18"/>
        <v>0</v>
      </c>
      <c r="U22" s="10" t="str">
        <f t="shared" si="19"/>
        <v>0</v>
      </c>
      <c r="V22" s="10" t="str">
        <f t="shared" si="20"/>
        <v>0</v>
      </c>
      <c r="W22" s="10" t="str">
        <f t="shared" si="21"/>
        <v>0</v>
      </c>
      <c r="X22" s="10" t="str">
        <f t="shared" si="22"/>
        <v>0</v>
      </c>
      <c r="Y22" s="11" t="str">
        <f t="shared" si="23"/>
        <v>0</v>
      </c>
      <c r="Z22" s="8">
        <v>17</v>
      </c>
      <c r="AA22" s="15" t="s">
        <v>2</v>
      </c>
      <c r="AB22" s="33"/>
      <c r="AC22" s="75"/>
      <c r="AD22" s="33"/>
      <c r="AE22" s="34"/>
      <c r="AH22" s="1"/>
    </row>
    <row r="23" spans="1:34" x14ac:dyDescent="0.25">
      <c r="A23" s="31" t="s">
        <v>45</v>
      </c>
      <c r="B23" s="29" t="str">
        <f t="shared" si="0"/>
        <v>2</v>
      </c>
      <c r="C23" s="10" t="str">
        <f t="shared" si="1"/>
        <v>4</v>
      </c>
      <c r="D23" s="10" t="str">
        <f t="shared" si="2"/>
        <v>0</v>
      </c>
      <c r="E23" s="10" t="str">
        <f t="shared" si="3"/>
        <v>0</v>
      </c>
      <c r="F23" s="11" t="str">
        <f t="shared" si="4"/>
        <v>0</v>
      </c>
      <c r="G23" s="9" t="str">
        <f t="shared" si="5"/>
        <v>0</v>
      </c>
      <c r="H23" s="10" t="str">
        <f t="shared" si="6"/>
        <v>1</v>
      </c>
      <c r="I23" s="10" t="str">
        <f t="shared" si="7"/>
        <v>0</v>
      </c>
      <c r="J23" s="10" t="str">
        <f t="shared" si="8"/>
        <v>0</v>
      </c>
      <c r="K23" s="10" t="str">
        <f t="shared" si="9"/>
        <v>1</v>
      </c>
      <c r="L23" s="10" t="str">
        <f t="shared" si="10"/>
        <v>0</v>
      </c>
      <c r="M23" s="10" t="str">
        <f t="shared" si="11"/>
        <v>0</v>
      </c>
      <c r="N23" s="10" t="str">
        <f t="shared" si="12"/>
        <v>0</v>
      </c>
      <c r="O23" s="10" t="str">
        <f t="shared" si="13"/>
        <v>0</v>
      </c>
      <c r="P23" s="10" t="str">
        <f t="shared" si="14"/>
        <v>0</v>
      </c>
      <c r="Q23" s="10" t="str">
        <f t="shared" si="15"/>
        <v>0</v>
      </c>
      <c r="R23" s="10" t="str">
        <f t="shared" si="16"/>
        <v>0</v>
      </c>
      <c r="S23" s="10" t="str">
        <f t="shared" si="17"/>
        <v>0</v>
      </c>
      <c r="T23" s="10" t="str">
        <f t="shared" si="18"/>
        <v>0</v>
      </c>
      <c r="U23" s="10" t="str">
        <f t="shared" si="19"/>
        <v>0</v>
      </c>
      <c r="V23" s="10" t="str">
        <f t="shared" si="20"/>
        <v>0</v>
      </c>
      <c r="W23" s="10" t="str">
        <f t="shared" si="21"/>
        <v>0</v>
      </c>
      <c r="X23" s="10" t="str">
        <f t="shared" si="22"/>
        <v>0</v>
      </c>
      <c r="Y23" s="11" t="str">
        <f t="shared" si="23"/>
        <v>0</v>
      </c>
      <c r="Z23" s="22">
        <v>18</v>
      </c>
      <c r="AA23" s="15" t="s">
        <v>2</v>
      </c>
      <c r="AB23" s="33">
        <v>18</v>
      </c>
      <c r="AC23" s="75" t="s">
        <v>0</v>
      </c>
      <c r="AD23" s="33"/>
      <c r="AE23" s="34"/>
      <c r="AH23" s="1"/>
    </row>
    <row r="24" spans="1:34" x14ac:dyDescent="0.25">
      <c r="A24" s="31" t="s">
        <v>46</v>
      </c>
      <c r="B24" s="29" t="str">
        <f t="shared" si="0"/>
        <v>2</v>
      </c>
      <c r="C24" s="10" t="str">
        <f t="shared" si="1"/>
        <v>6</v>
      </c>
      <c r="D24" s="10" t="str">
        <f t="shared" si="2"/>
        <v>0</v>
      </c>
      <c r="E24" s="10" t="str">
        <f t="shared" si="3"/>
        <v>0</v>
      </c>
      <c r="F24" s="11" t="str">
        <f t="shared" si="4"/>
        <v>0</v>
      </c>
      <c r="G24" s="9" t="str">
        <f t="shared" si="5"/>
        <v>0</v>
      </c>
      <c r="H24" s="10" t="str">
        <f t="shared" si="6"/>
        <v>1</v>
      </c>
      <c r="I24" s="10" t="str">
        <f t="shared" si="7"/>
        <v>0</v>
      </c>
      <c r="J24" s="10" t="str">
        <f t="shared" si="8"/>
        <v>0</v>
      </c>
      <c r="K24" s="10" t="str">
        <f t="shared" si="9"/>
        <v>1</v>
      </c>
      <c r="L24" s="10" t="str">
        <f t="shared" si="10"/>
        <v>1</v>
      </c>
      <c r="M24" s="10" t="str">
        <f t="shared" si="11"/>
        <v>0</v>
      </c>
      <c r="N24" s="10" t="str">
        <f t="shared" si="12"/>
        <v>0</v>
      </c>
      <c r="O24" s="10" t="str">
        <f t="shared" si="13"/>
        <v>0</v>
      </c>
      <c r="P24" s="10" t="str">
        <f t="shared" si="14"/>
        <v>0</v>
      </c>
      <c r="Q24" s="10" t="str">
        <f t="shared" si="15"/>
        <v>0</v>
      </c>
      <c r="R24" s="10" t="str">
        <f t="shared" si="16"/>
        <v>0</v>
      </c>
      <c r="S24" s="10" t="str">
        <f t="shared" si="17"/>
        <v>0</v>
      </c>
      <c r="T24" s="10" t="str">
        <f t="shared" si="18"/>
        <v>0</v>
      </c>
      <c r="U24" s="10" t="str">
        <f t="shared" si="19"/>
        <v>0</v>
      </c>
      <c r="V24" s="10" t="str">
        <f t="shared" si="20"/>
        <v>0</v>
      </c>
      <c r="W24" s="10" t="str">
        <f t="shared" si="21"/>
        <v>0</v>
      </c>
      <c r="X24" s="10" t="str">
        <f t="shared" si="22"/>
        <v>0</v>
      </c>
      <c r="Y24" s="11" t="str">
        <f t="shared" si="23"/>
        <v>0</v>
      </c>
      <c r="Z24" s="8">
        <v>19</v>
      </c>
      <c r="AA24" s="15" t="s">
        <v>2</v>
      </c>
      <c r="AB24" s="33"/>
      <c r="AC24" s="75"/>
      <c r="AD24" s="33"/>
      <c r="AE24" s="34"/>
      <c r="AH24" s="1"/>
    </row>
    <row r="25" spans="1:34" x14ac:dyDescent="0.25">
      <c r="A25" s="31" t="s">
        <v>47</v>
      </c>
      <c r="B25" s="29" t="str">
        <f t="shared" si="0"/>
        <v>2</v>
      </c>
      <c r="C25" s="10" t="str">
        <f t="shared" si="1"/>
        <v>8</v>
      </c>
      <c r="D25" s="10" t="str">
        <f t="shared" si="2"/>
        <v>0</v>
      </c>
      <c r="E25" s="10" t="str">
        <f t="shared" si="3"/>
        <v>0</v>
      </c>
      <c r="F25" s="11" t="str">
        <f t="shared" si="4"/>
        <v>0</v>
      </c>
      <c r="G25" s="9" t="str">
        <f t="shared" si="5"/>
        <v>0</v>
      </c>
      <c r="H25" s="10" t="str">
        <f t="shared" si="6"/>
        <v>1</v>
      </c>
      <c r="I25" s="10" t="str">
        <f t="shared" si="7"/>
        <v>0</v>
      </c>
      <c r="J25" s="10" t="str">
        <f t="shared" si="8"/>
        <v>1</v>
      </c>
      <c r="K25" s="10" t="str">
        <f t="shared" si="9"/>
        <v>0</v>
      </c>
      <c r="L25" s="10" t="str">
        <f t="shared" si="10"/>
        <v>0</v>
      </c>
      <c r="M25" s="10" t="str">
        <f t="shared" si="11"/>
        <v>0</v>
      </c>
      <c r="N25" s="10" t="str">
        <f t="shared" si="12"/>
        <v>0</v>
      </c>
      <c r="O25" s="10" t="str">
        <f t="shared" si="13"/>
        <v>0</v>
      </c>
      <c r="P25" s="10" t="str">
        <f t="shared" si="14"/>
        <v>0</v>
      </c>
      <c r="Q25" s="10" t="str">
        <f t="shared" si="15"/>
        <v>0</v>
      </c>
      <c r="R25" s="10" t="str">
        <f t="shared" si="16"/>
        <v>0</v>
      </c>
      <c r="S25" s="10" t="str">
        <f t="shared" si="17"/>
        <v>0</v>
      </c>
      <c r="T25" s="10" t="str">
        <f t="shared" si="18"/>
        <v>0</v>
      </c>
      <c r="U25" s="10" t="str">
        <f t="shared" si="19"/>
        <v>0</v>
      </c>
      <c r="V25" s="10" t="str">
        <f t="shared" si="20"/>
        <v>0</v>
      </c>
      <c r="W25" s="10" t="str">
        <f t="shared" si="21"/>
        <v>0</v>
      </c>
      <c r="X25" s="10" t="str">
        <f t="shared" si="22"/>
        <v>0</v>
      </c>
      <c r="Y25" s="11" t="str">
        <f t="shared" si="23"/>
        <v>0</v>
      </c>
      <c r="Z25" s="8">
        <v>20</v>
      </c>
      <c r="AA25" s="15" t="s">
        <v>2</v>
      </c>
      <c r="AB25" s="33">
        <v>20</v>
      </c>
      <c r="AC25" s="75" t="s">
        <v>0</v>
      </c>
      <c r="AD25" s="33">
        <v>20</v>
      </c>
      <c r="AE25" s="34" t="s">
        <v>1</v>
      </c>
      <c r="AH25" s="1"/>
    </row>
    <row r="26" spans="1:34" x14ac:dyDescent="0.25">
      <c r="A26" s="31" t="s">
        <v>48</v>
      </c>
      <c r="B26" s="29" t="str">
        <f t="shared" si="0"/>
        <v>2</v>
      </c>
      <c r="C26" s="10" t="str">
        <f t="shared" si="1"/>
        <v>A</v>
      </c>
      <c r="D26" s="10" t="str">
        <f t="shared" si="2"/>
        <v>0</v>
      </c>
      <c r="E26" s="10" t="str">
        <f t="shared" si="3"/>
        <v>0</v>
      </c>
      <c r="F26" s="11" t="str">
        <f t="shared" si="4"/>
        <v>0</v>
      </c>
      <c r="G26" s="9" t="str">
        <f t="shared" si="5"/>
        <v>0</v>
      </c>
      <c r="H26" s="10" t="str">
        <f t="shared" si="6"/>
        <v>1</v>
      </c>
      <c r="I26" s="10" t="str">
        <f t="shared" si="7"/>
        <v>0</v>
      </c>
      <c r="J26" s="10" t="str">
        <f t="shared" si="8"/>
        <v>1</v>
      </c>
      <c r="K26" s="10" t="str">
        <f t="shared" si="9"/>
        <v>0</v>
      </c>
      <c r="L26" s="10" t="str">
        <f t="shared" si="10"/>
        <v>1</v>
      </c>
      <c r="M26" s="10" t="str">
        <f t="shared" si="11"/>
        <v>0</v>
      </c>
      <c r="N26" s="10" t="str">
        <f t="shared" si="12"/>
        <v>0</v>
      </c>
      <c r="O26" s="10" t="str">
        <f t="shared" si="13"/>
        <v>0</v>
      </c>
      <c r="P26" s="10" t="str">
        <f t="shared" si="14"/>
        <v>0</v>
      </c>
      <c r="Q26" s="10" t="str">
        <f t="shared" si="15"/>
        <v>0</v>
      </c>
      <c r="R26" s="10" t="str">
        <f t="shared" si="16"/>
        <v>0</v>
      </c>
      <c r="S26" s="10" t="str">
        <f t="shared" si="17"/>
        <v>0</v>
      </c>
      <c r="T26" s="10" t="str">
        <f t="shared" si="18"/>
        <v>0</v>
      </c>
      <c r="U26" s="10" t="str">
        <f t="shared" si="19"/>
        <v>0</v>
      </c>
      <c r="V26" s="10" t="str">
        <f t="shared" si="20"/>
        <v>0</v>
      </c>
      <c r="W26" s="10" t="str">
        <f t="shared" si="21"/>
        <v>0</v>
      </c>
      <c r="X26" s="10" t="str">
        <f t="shared" si="22"/>
        <v>0</v>
      </c>
      <c r="Y26" s="11" t="str">
        <f t="shared" si="23"/>
        <v>0</v>
      </c>
      <c r="Z26" s="22">
        <v>21</v>
      </c>
      <c r="AA26" s="15" t="s">
        <v>2</v>
      </c>
      <c r="AB26" s="33"/>
      <c r="AC26" s="75"/>
      <c r="AD26" s="33"/>
      <c r="AE26" s="34"/>
      <c r="AH26" s="1"/>
    </row>
    <row r="27" spans="1:34" x14ac:dyDescent="0.25">
      <c r="A27" s="31" t="s">
        <v>49</v>
      </c>
      <c r="B27" s="29" t="str">
        <f t="shared" si="0"/>
        <v>2</v>
      </c>
      <c r="C27" s="10" t="str">
        <f t="shared" si="1"/>
        <v>C</v>
      </c>
      <c r="D27" s="10" t="str">
        <f t="shared" si="2"/>
        <v>0</v>
      </c>
      <c r="E27" s="10" t="str">
        <f t="shared" si="3"/>
        <v>0</v>
      </c>
      <c r="F27" s="11" t="str">
        <f t="shared" si="4"/>
        <v>0</v>
      </c>
      <c r="G27" s="9" t="str">
        <f t="shared" si="5"/>
        <v>0</v>
      </c>
      <c r="H27" s="10" t="str">
        <f t="shared" si="6"/>
        <v>1</v>
      </c>
      <c r="I27" s="10" t="str">
        <f t="shared" si="7"/>
        <v>0</v>
      </c>
      <c r="J27" s="10" t="str">
        <f t="shared" si="8"/>
        <v>1</v>
      </c>
      <c r="K27" s="10" t="str">
        <f t="shared" si="9"/>
        <v>1</v>
      </c>
      <c r="L27" s="10" t="str">
        <f t="shared" si="10"/>
        <v>0</v>
      </c>
      <c r="M27" s="10" t="str">
        <f t="shared" si="11"/>
        <v>0</v>
      </c>
      <c r="N27" s="10" t="str">
        <f t="shared" si="12"/>
        <v>0</v>
      </c>
      <c r="O27" s="10" t="str">
        <f t="shared" si="13"/>
        <v>0</v>
      </c>
      <c r="P27" s="10" t="str">
        <f t="shared" si="14"/>
        <v>0</v>
      </c>
      <c r="Q27" s="10" t="str">
        <f t="shared" si="15"/>
        <v>0</v>
      </c>
      <c r="R27" s="10" t="str">
        <f t="shared" si="16"/>
        <v>0</v>
      </c>
      <c r="S27" s="10" t="str">
        <f t="shared" si="17"/>
        <v>0</v>
      </c>
      <c r="T27" s="10" t="str">
        <f t="shared" si="18"/>
        <v>0</v>
      </c>
      <c r="U27" s="10" t="str">
        <f t="shared" si="19"/>
        <v>0</v>
      </c>
      <c r="V27" s="10" t="str">
        <f t="shared" si="20"/>
        <v>0</v>
      </c>
      <c r="W27" s="10" t="str">
        <f t="shared" si="21"/>
        <v>0</v>
      </c>
      <c r="X27" s="10" t="str">
        <f t="shared" si="22"/>
        <v>0</v>
      </c>
      <c r="Y27" s="11" t="str">
        <f t="shared" si="23"/>
        <v>0</v>
      </c>
      <c r="Z27" s="8">
        <v>22</v>
      </c>
      <c r="AA27" s="15" t="s">
        <v>2</v>
      </c>
      <c r="AB27" s="33">
        <v>22</v>
      </c>
      <c r="AC27" s="75" t="s">
        <v>0</v>
      </c>
      <c r="AD27" s="33"/>
      <c r="AE27" s="34"/>
      <c r="AH27" s="1"/>
    </row>
    <row r="28" spans="1:34" x14ac:dyDescent="0.25">
      <c r="A28" s="31" t="s">
        <v>50</v>
      </c>
      <c r="B28" s="29" t="str">
        <f t="shared" si="0"/>
        <v>2</v>
      </c>
      <c r="C28" s="10" t="str">
        <f t="shared" si="1"/>
        <v>E</v>
      </c>
      <c r="D28" s="10" t="str">
        <f t="shared" si="2"/>
        <v>0</v>
      </c>
      <c r="E28" s="10" t="str">
        <f t="shared" si="3"/>
        <v>0</v>
      </c>
      <c r="F28" s="11" t="str">
        <f t="shared" si="4"/>
        <v>0</v>
      </c>
      <c r="G28" s="9" t="str">
        <f t="shared" si="5"/>
        <v>0</v>
      </c>
      <c r="H28" s="10" t="str">
        <f t="shared" si="6"/>
        <v>1</v>
      </c>
      <c r="I28" s="10" t="str">
        <f t="shared" si="7"/>
        <v>0</v>
      </c>
      <c r="J28" s="10" t="str">
        <f t="shared" si="8"/>
        <v>1</v>
      </c>
      <c r="K28" s="10" t="str">
        <f t="shared" si="9"/>
        <v>1</v>
      </c>
      <c r="L28" s="10" t="str">
        <f t="shared" si="10"/>
        <v>1</v>
      </c>
      <c r="M28" s="10" t="str">
        <f t="shared" si="11"/>
        <v>0</v>
      </c>
      <c r="N28" s="10" t="str">
        <f t="shared" si="12"/>
        <v>0</v>
      </c>
      <c r="O28" s="10" t="str">
        <f t="shared" si="13"/>
        <v>0</v>
      </c>
      <c r="P28" s="10" t="str">
        <f t="shared" si="14"/>
        <v>0</v>
      </c>
      <c r="Q28" s="10" t="str">
        <f t="shared" si="15"/>
        <v>0</v>
      </c>
      <c r="R28" s="10" t="str">
        <f t="shared" si="16"/>
        <v>0</v>
      </c>
      <c r="S28" s="10" t="str">
        <f t="shared" si="17"/>
        <v>0</v>
      </c>
      <c r="T28" s="10" t="str">
        <f t="shared" si="18"/>
        <v>0</v>
      </c>
      <c r="U28" s="10" t="str">
        <f t="shared" si="19"/>
        <v>0</v>
      </c>
      <c r="V28" s="10" t="str">
        <f t="shared" si="20"/>
        <v>0</v>
      </c>
      <c r="W28" s="10" t="str">
        <f t="shared" si="21"/>
        <v>0</v>
      </c>
      <c r="X28" s="10" t="str">
        <f t="shared" si="22"/>
        <v>0</v>
      </c>
      <c r="Y28" s="11" t="str">
        <f t="shared" si="23"/>
        <v>0</v>
      </c>
      <c r="Z28" s="8">
        <v>23</v>
      </c>
      <c r="AA28" s="15" t="s">
        <v>2</v>
      </c>
      <c r="AB28" s="33"/>
      <c r="AC28" s="75"/>
      <c r="AD28" s="33"/>
      <c r="AE28" s="34"/>
      <c r="AH28" s="1"/>
    </row>
    <row r="29" spans="1:34" x14ac:dyDescent="0.25">
      <c r="A29" s="31" t="s">
        <v>51</v>
      </c>
      <c r="B29" s="29" t="str">
        <f t="shared" si="0"/>
        <v>3</v>
      </c>
      <c r="C29" s="10" t="str">
        <f t="shared" si="1"/>
        <v>0</v>
      </c>
      <c r="D29" s="10" t="str">
        <f t="shared" si="2"/>
        <v>0</v>
      </c>
      <c r="E29" s="10" t="str">
        <f t="shared" si="3"/>
        <v>0</v>
      </c>
      <c r="F29" s="11" t="str">
        <f t="shared" si="4"/>
        <v>0</v>
      </c>
      <c r="G29" s="9" t="str">
        <f t="shared" si="5"/>
        <v>0</v>
      </c>
      <c r="H29" s="10" t="str">
        <f t="shared" si="6"/>
        <v>1</v>
      </c>
      <c r="I29" s="10" t="str">
        <f t="shared" si="7"/>
        <v>1</v>
      </c>
      <c r="J29" s="10" t="str">
        <f t="shared" si="8"/>
        <v>0</v>
      </c>
      <c r="K29" s="10" t="str">
        <f t="shared" si="9"/>
        <v>0</v>
      </c>
      <c r="L29" s="10" t="str">
        <f t="shared" si="10"/>
        <v>0</v>
      </c>
      <c r="M29" s="10" t="str">
        <f t="shared" si="11"/>
        <v>0</v>
      </c>
      <c r="N29" s="10" t="str">
        <f t="shared" si="12"/>
        <v>0</v>
      </c>
      <c r="O29" s="10" t="str">
        <f t="shared" si="13"/>
        <v>0</v>
      </c>
      <c r="P29" s="10" t="str">
        <f t="shared" si="14"/>
        <v>0</v>
      </c>
      <c r="Q29" s="10" t="str">
        <f t="shared" si="15"/>
        <v>0</v>
      </c>
      <c r="R29" s="10" t="str">
        <f t="shared" si="16"/>
        <v>0</v>
      </c>
      <c r="S29" s="10" t="str">
        <f t="shared" si="17"/>
        <v>0</v>
      </c>
      <c r="T29" s="10" t="str">
        <f t="shared" si="18"/>
        <v>0</v>
      </c>
      <c r="U29" s="10" t="str">
        <f t="shared" si="19"/>
        <v>0</v>
      </c>
      <c r="V29" s="10" t="str">
        <f t="shared" si="20"/>
        <v>0</v>
      </c>
      <c r="W29" s="10" t="str">
        <f t="shared" si="21"/>
        <v>0</v>
      </c>
      <c r="X29" s="10" t="str">
        <f t="shared" si="22"/>
        <v>0</v>
      </c>
      <c r="Y29" s="11" t="str">
        <f t="shared" si="23"/>
        <v>0</v>
      </c>
      <c r="Z29" s="8">
        <v>24</v>
      </c>
      <c r="AA29" s="15" t="s">
        <v>2</v>
      </c>
      <c r="AB29" s="33">
        <v>24</v>
      </c>
      <c r="AC29" s="75" t="s">
        <v>0</v>
      </c>
      <c r="AD29" s="33">
        <v>24</v>
      </c>
      <c r="AE29" s="34" t="s">
        <v>1</v>
      </c>
      <c r="AH29" s="1"/>
    </row>
    <row r="30" spans="1:34" x14ac:dyDescent="0.25">
      <c r="A30" s="31" t="s">
        <v>52</v>
      </c>
      <c r="B30" s="29" t="str">
        <f t="shared" si="0"/>
        <v>3</v>
      </c>
      <c r="C30" s="10" t="str">
        <f t="shared" si="1"/>
        <v>2</v>
      </c>
      <c r="D30" s="10" t="str">
        <f t="shared" si="2"/>
        <v>0</v>
      </c>
      <c r="E30" s="10" t="str">
        <f t="shared" si="3"/>
        <v>0</v>
      </c>
      <c r="F30" s="11" t="str">
        <f t="shared" si="4"/>
        <v>0</v>
      </c>
      <c r="G30" s="9" t="str">
        <f t="shared" si="5"/>
        <v>0</v>
      </c>
      <c r="H30" s="10" t="str">
        <f t="shared" si="6"/>
        <v>1</v>
      </c>
      <c r="I30" s="10" t="str">
        <f t="shared" si="7"/>
        <v>1</v>
      </c>
      <c r="J30" s="10" t="str">
        <f t="shared" si="8"/>
        <v>0</v>
      </c>
      <c r="K30" s="10" t="str">
        <f t="shared" si="9"/>
        <v>0</v>
      </c>
      <c r="L30" s="10" t="str">
        <f t="shared" si="10"/>
        <v>1</v>
      </c>
      <c r="M30" s="10" t="str">
        <f t="shared" si="11"/>
        <v>0</v>
      </c>
      <c r="N30" s="10" t="str">
        <f t="shared" si="12"/>
        <v>0</v>
      </c>
      <c r="O30" s="10" t="str">
        <f t="shared" si="13"/>
        <v>0</v>
      </c>
      <c r="P30" s="10" t="str">
        <f t="shared" si="14"/>
        <v>0</v>
      </c>
      <c r="Q30" s="10" t="str">
        <f t="shared" si="15"/>
        <v>0</v>
      </c>
      <c r="R30" s="10" t="str">
        <f t="shared" si="16"/>
        <v>0</v>
      </c>
      <c r="S30" s="10" t="str">
        <f t="shared" si="17"/>
        <v>0</v>
      </c>
      <c r="T30" s="10" t="str">
        <f t="shared" si="18"/>
        <v>0</v>
      </c>
      <c r="U30" s="10" t="str">
        <f t="shared" si="19"/>
        <v>0</v>
      </c>
      <c r="V30" s="10" t="str">
        <f t="shared" si="20"/>
        <v>0</v>
      </c>
      <c r="W30" s="10" t="str">
        <f t="shared" si="21"/>
        <v>0</v>
      </c>
      <c r="X30" s="10" t="str">
        <f t="shared" si="22"/>
        <v>0</v>
      </c>
      <c r="Y30" s="11" t="str">
        <f t="shared" si="23"/>
        <v>0</v>
      </c>
      <c r="Z30" s="22">
        <v>25</v>
      </c>
      <c r="AA30" s="15" t="s">
        <v>2</v>
      </c>
      <c r="AB30" s="33"/>
      <c r="AC30" s="75"/>
      <c r="AD30" s="33"/>
      <c r="AE30" s="34"/>
      <c r="AH30" s="1"/>
    </row>
    <row r="31" spans="1:34" x14ac:dyDescent="0.25">
      <c r="A31" s="31" t="s">
        <v>53</v>
      </c>
      <c r="B31" s="29" t="str">
        <f t="shared" si="0"/>
        <v>3</v>
      </c>
      <c r="C31" s="10" t="str">
        <f t="shared" si="1"/>
        <v>4</v>
      </c>
      <c r="D31" s="10" t="str">
        <f t="shared" si="2"/>
        <v>0</v>
      </c>
      <c r="E31" s="10" t="str">
        <f t="shared" si="3"/>
        <v>0</v>
      </c>
      <c r="F31" s="11" t="str">
        <f t="shared" si="4"/>
        <v>0</v>
      </c>
      <c r="G31" s="9" t="str">
        <f t="shared" si="5"/>
        <v>0</v>
      </c>
      <c r="H31" s="10" t="str">
        <f t="shared" si="6"/>
        <v>1</v>
      </c>
      <c r="I31" s="10" t="str">
        <f t="shared" si="7"/>
        <v>1</v>
      </c>
      <c r="J31" s="10" t="str">
        <f t="shared" si="8"/>
        <v>0</v>
      </c>
      <c r="K31" s="10" t="str">
        <f t="shared" si="9"/>
        <v>1</v>
      </c>
      <c r="L31" s="10" t="str">
        <f t="shared" si="10"/>
        <v>0</v>
      </c>
      <c r="M31" s="10" t="str">
        <f t="shared" si="11"/>
        <v>0</v>
      </c>
      <c r="N31" s="10" t="str">
        <f t="shared" si="12"/>
        <v>0</v>
      </c>
      <c r="O31" s="10" t="str">
        <f t="shared" si="13"/>
        <v>0</v>
      </c>
      <c r="P31" s="10" t="str">
        <f t="shared" si="14"/>
        <v>0</v>
      </c>
      <c r="Q31" s="10" t="str">
        <f t="shared" si="15"/>
        <v>0</v>
      </c>
      <c r="R31" s="10" t="str">
        <f t="shared" si="16"/>
        <v>0</v>
      </c>
      <c r="S31" s="10" t="str">
        <f t="shared" si="17"/>
        <v>0</v>
      </c>
      <c r="T31" s="10" t="str">
        <f t="shared" si="18"/>
        <v>0</v>
      </c>
      <c r="U31" s="10" t="str">
        <f t="shared" si="19"/>
        <v>0</v>
      </c>
      <c r="V31" s="10" t="str">
        <f t="shared" si="20"/>
        <v>0</v>
      </c>
      <c r="W31" s="10" t="str">
        <f t="shared" si="21"/>
        <v>0</v>
      </c>
      <c r="X31" s="10" t="str">
        <f t="shared" si="22"/>
        <v>0</v>
      </c>
      <c r="Y31" s="11" t="str">
        <f t="shared" si="23"/>
        <v>0</v>
      </c>
      <c r="Z31" s="8">
        <v>26</v>
      </c>
      <c r="AA31" s="15" t="s">
        <v>2</v>
      </c>
      <c r="AB31" s="33">
        <v>26</v>
      </c>
      <c r="AC31" s="75" t="s">
        <v>0</v>
      </c>
      <c r="AD31" s="33"/>
      <c r="AE31" s="34"/>
      <c r="AH31" s="1"/>
    </row>
    <row r="32" spans="1:34" x14ac:dyDescent="0.25">
      <c r="A32" s="31" t="s">
        <v>54</v>
      </c>
      <c r="B32" s="29" t="str">
        <f t="shared" si="0"/>
        <v>3</v>
      </c>
      <c r="C32" s="10" t="str">
        <f t="shared" si="1"/>
        <v>6</v>
      </c>
      <c r="D32" s="10" t="str">
        <f t="shared" si="2"/>
        <v>0</v>
      </c>
      <c r="E32" s="10" t="str">
        <f t="shared" si="3"/>
        <v>0</v>
      </c>
      <c r="F32" s="11" t="str">
        <f t="shared" si="4"/>
        <v>0</v>
      </c>
      <c r="G32" s="9" t="str">
        <f t="shared" si="5"/>
        <v>0</v>
      </c>
      <c r="H32" s="10" t="str">
        <f t="shared" si="6"/>
        <v>1</v>
      </c>
      <c r="I32" s="10" t="str">
        <f t="shared" si="7"/>
        <v>1</v>
      </c>
      <c r="J32" s="10" t="str">
        <f t="shared" si="8"/>
        <v>0</v>
      </c>
      <c r="K32" s="10" t="str">
        <f t="shared" si="9"/>
        <v>1</v>
      </c>
      <c r="L32" s="10" t="str">
        <f t="shared" si="10"/>
        <v>1</v>
      </c>
      <c r="M32" s="10" t="str">
        <f t="shared" si="11"/>
        <v>0</v>
      </c>
      <c r="N32" s="10" t="str">
        <f t="shared" si="12"/>
        <v>0</v>
      </c>
      <c r="O32" s="10" t="str">
        <f t="shared" si="13"/>
        <v>0</v>
      </c>
      <c r="P32" s="10" t="str">
        <f t="shared" si="14"/>
        <v>0</v>
      </c>
      <c r="Q32" s="10" t="str">
        <f t="shared" si="15"/>
        <v>0</v>
      </c>
      <c r="R32" s="10" t="str">
        <f t="shared" si="16"/>
        <v>0</v>
      </c>
      <c r="S32" s="10" t="str">
        <f t="shared" si="17"/>
        <v>0</v>
      </c>
      <c r="T32" s="10" t="str">
        <f t="shared" si="18"/>
        <v>0</v>
      </c>
      <c r="U32" s="10" t="str">
        <f t="shared" si="19"/>
        <v>0</v>
      </c>
      <c r="V32" s="10" t="str">
        <f t="shared" si="20"/>
        <v>0</v>
      </c>
      <c r="W32" s="10" t="str">
        <f t="shared" si="21"/>
        <v>0</v>
      </c>
      <c r="X32" s="10" t="str">
        <f t="shared" si="22"/>
        <v>0</v>
      </c>
      <c r="Y32" s="11" t="str">
        <f t="shared" si="23"/>
        <v>0</v>
      </c>
      <c r="Z32" s="8">
        <v>27</v>
      </c>
      <c r="AA32" s="15" t="s">
        <v>2</v>
      </c>
      <c r="AB32" s="33"/>
      <c r="AC32" s="75"/>
      <c r="AD32" s="33"/>
      <c r="AE32" s="34"/>
      <c r="AH32" s="1"/>
    </row>
    <row r="33" spans="1:34" x14ac:dyDescent="0.25">
      <c r="A33" s="31" t="s">
        <v>55</v>
      </c>
      <c r="B33" s="29" t="str">
        <f t="shared" si="0"/>
        <v>3</v>
      </c>
      <c r="C33" s="10" t="str">
        <f t="shared" si="1"/>
        <v>8</v>
      </c>
      <c r="D33" s="10" t="str">
        <f t="shared" si="2"/>
        <v>0</v>
      </c>
      <c r="E33" s="10" t="str">
        <f t="shared" si="3"/>
        <v>0</v>
      </c>
      <c r="F33" s="11" t="str">
        <f t="shared" si="4"/>
        <v>0</v>
      </c>
      <c r="G33" s="9" t="str">
        <f t="shared" si="5"/>
        <v>0</v>
      </c>
      <c r="H33" s="10" t="str">
        <f t="shared" si="6"/>
        <v>1</v>
      </c>
      <c r="I33" s="10" t="str">
        <f t="shared" si="7"/>
        <v>1</v>
      </c>
      <c r="J33" s="10" t="str">
        <f t="shared" si="8"/>
        <v>1</v>
      </c>
      <c r="K33" s="10" t="str">
        <f t="shared" si="9"/>
        <v>0</v>
      </c>
      <c r="L33" s="10" t="str">
        <f t="shared" si="10"/>
        <v>0</v>
      </c>
      <c r="M33" s="10" t="str">
        <f t="shared" si="11"/>
        <v>0</v>
      </c>
      <c r="N33" s="10" t="str">
        <f t="shared" si="12"/>
        <v>0</v>
      </c>
      <c r="O33" s="10" t="str">
        <f t="shared" si="13"/>
        <v>0</v>
      </c>
      <c r="P33" s="10" t="str">
        <f t="shared" si="14"/>
        <v>0</v>
      </c>
      <c r="Q33" s="10" t="str">
        <f t="shared" si="15"/>
        <v>0</v>
      </c>
      <c r="R33" s="10" t="str">
        <f t="shared" si="16"/>
        <v>0</v>
      </c>
      <c r="S33" s="10" t="str">
        <f t="shared" si="17"/>
        <v>0</v>
      </c>
      <c r="T33" s="10" t="str">
        <f t="shared" si="18"/>
        <v>0</v>
      </c>
      <c r="U33" s="10" t="str">
        <f t="shared" si="19"/>
        <v>0</v>
      </c>
      <c r="V33" s="10" t="str">
        <f t="shared" si="20"/>
        <v>0</v>
      </c>
      <c r="W33" s="10" t="str">
        <f t="shared" si="21"/>
        <v>0</v>
      </c>
      <c r="X33" s="10" t="str">
        <f t="shared" si="22"/>
        <v>0</v>
      </c>
      <c r="Y33" s="11" t="str">
        <f t="shared" si="23"/>
        <v>0</v>
      </c>
      <c r="Z33" s="22">
        <v>28</v>
      </c>
      <c r="AA33" s="15" t="s">
        <v>2</v>
      </c>
      <c r="AB33" s="33">
        <v>28</v>
      </c>
      <c r="AC33" s="75" t="s">
        <v>0</v>
      </c>
      <c r="AD33" s="33">
        <v>28</v>
      </c>
      <c r="AE33" s="34" t="s">
        <v>1</v>
      </c>
      <c r="AH33" s="1"/>
    </row>
    <row r="34" spans="1:34" x14ac:dyDescent="0.25">
      <c r="A34" s="31" t="s">
        <v>56</v>
      </c>
      <c r="B34" s="29" t="str">
        <f t="shared" si="0"/>
        <v>3</v>
      </c>
      <c r="C34" s="10" t="str">
        <f t="shared" si="1"/>
        <v>A</v>
      </c>
      <c r="D34" s="10" t="str">
        <f t="shared" si="2"/>
        <v>0</v>
      </c>
      <c r="E34" s="10" t="str">
        <f t="shared" si="3"/>
        <v>0</v>
      </c>
      <c r="F34" s="11" t="str">
        <f t="shared" si="4"/>
        <v>0</v>
      </c>
      <c r="G34" s="9" t="str">
        <f t="shared" si="5"/>
        <v>0</v>
      </c>
      <c r="H34" s="10" t="str">
        <f t="shared" si="6"/>
        <v>1</v>
      </c>
      <c r="I34" s="10" t="str">
        <f t="shared" si="7"/>
        <v>1</v>
      </c>
      <c r="J34" s="10" t="str">
        <f t="shared" si="8"/>
        <v>1</v>
      </c>
      <c r="K34" s="10" t="str">
        <f t="shared" si="9"/>
        <v>0</v>
      </c>
      <c r="L34" s="10" t="str">
        <f t="shared" si="10"/>
        <v>1</v>
      </c>
      <c r="M34" s="10" t="str">
        <f t="shared" si="11"/>
        <v>0</v>
      </c>
      <c r="N34" s="10" t="str">
        <f t="shared" si="12"/>
        <v>0</v>
      </c>
      <c r="O34" s="10" t="str">
        <f t="shared" si="13"/>
        <v>0</v>
      </c>
      <c r="P34" s="10" t="str">
        <f t="shared" si="14"/>
        <v>0</v>
      </c>
      <c r="Q34" s="10" t="str">
        <f t="shared" si="15"/>
        <v>0</v>
      </c>
      <c r="R34" s="10" t="str">
        <f t="shared" si="16"/>
        <v>0</v>
      </c>
      <c r="S34" s="10" t="str">
        <f t="shared" si="17"/>
        <v>0</v>
      </c>
      <c r="T34" s="10" t="str">
        <f t="shared" si="18"/>
        <v>0</v>
      </c>
      <c r="U34" s="10" t="str">
        <f t="shared" si="19"/>
        <v>0</v>
      </c>
      <c r="V34" s="10" t="str">
        <f t="shared" si="20"/>
        <v>0</v>
      </c>
      <c r="W34" s="10" t="str">
        <f t="shared" si="21"/>
        <v>0</v>
      </c>
      <c r="X34" s="10" t="str">
        <f t="shared" si="22"/>
        <v>0</v>
      </c>
      <c r="Y34" s="11" t="str">
        <f t="shared" si="23"/>
        <v>0</v>
      </c>
      <c r="Z34" s="8">
        <v>29</v>
      </c>
      <c r="AA34" s="15" t="s">
        <v>2</v>
      </c>
      <c r="AB34" s="33"/>
      <c r="AC34" s="75"/>
      <c r="AD34" s="33"/>
      <c r="AE34" s="34"/>
      <c r="AH34" s="1"/>
    </row>
    <row r="35" spans="1:34" x14ac:dyDescent="0.25">
      <c r="A35" s="31" t="s">
        <v>57</v>
      </c>
      <c r="B35" s="29" t="str">
        <f t="shared" si="0"/>
        <v>3</v>
      </c>
      <c r="C35" s="10" t="str">
        <f t="shared" si="1"/>
        <v>C</v>
      </c>
      <c r="D35" s="10" t="str">
        <f t="shared" si="2"/>
        <v>0</v>
      </c>
      <c r="E35" s="10" t="str">
        <f t="shared" si="3"/>
        <v>0</v>
      </c>
      <c r="F35" s="11" t="str">
        <f t="shared" si="4"/>
        <v>0</v>
      </c>
      <c r="G35" s="9" t="str">
        <f t="shared" si="5"/>
        <v>0</v>
      </c>
      <c r="H35" s="10" t="str">
        <f t="shared" si="6"/>
        <v>1</v>
      </c>
      <c r="I35" s="10" t="str">
        <f t="shared" si="7"/>
        <v>1</v>
      </c>
      <c r="J35" s="10" t="str">
        <f t="shared" si="8"/>
        <v>1</v>
      </c>
      <c r="K35" s="10" t="str">
        <f t="shared" si="9"/>
        <v>1</v>
      </c>
      <c r="L35" s="10" t="str">
        <f t="shared" si="10"/>
        <v>0</v>
      </c>
      <c r="M35" s="10" t="str">
        <f t="shared" si="11"/>
        <v>0</v>
      </c>
      <c r="N35" s="10" t="str">
        <f t="shared" si="12"/>
        <v>0</v>
      </c>
      <c r="O35" s="10" t="str">
        <f t="shared" si="13"/>
        <v>0</v>
      </c>
      <c r="P35" s="10" t="str">
        <f t="shared" si="14"/>
        <v>0</v>
      </c>
      <c r="Q35" s="10" t="str">
        <f t="shared" si="15"/>
        <v>0</v>
      </c>
      <c r="R35" s="10" t="str">
        <f t="shared" si="16"/>
        <v>0</v>
      </c>
      <c r="S35" s="10" t="str">
        <f t="shared" si="17"/>
        <v>0</v>
      </c>
      <c r="T35" s="10" t="str">
        <f t="shared" si="18"/>
        <v>0</v>
      </c>
      <c r="U35" s="10" t="str">
        <f t="shared" si="19"/>
        <v>0</v>
      </c>
      <c r="V35" s="10" t="str">
        <f t="shared" si="20"/>
        <v>0</v>
      </c>
      <c r="W35" s="10" t="str">
        <f t="shared" si="21"/>
        <v>0</v>
      </c>
      <c r="X35" s="10" t="str">
        <f t="shared" si="22"/>
        <v>0</v>
      </c>
      <c r="Y35" s="11" t="str">
        <f t="shared" si="23"/>
        <v>0</v>
      </c>
      <c r="Z35" s="8">
        <v>30</v>
      </c>
      <c r="AA35" s="15" t="s">
        <v>2</v>
      </c>
      <c r="AB35" s="33">
        <v>30</v>
      </c>
      <c r="AC35" s="75" t="s">
        <v>0</v>
      </c>
      <c r="AD35" s="33"/>
      <c r="AE35" s="34"/>
      <c r="AH35" s="1"/>
    </row>
    <row r="36" spans="1:34" x14ac:dyDescent="0.25">
      <c r="A36" s="31" t="s">
        <v>58</v>
      </c>
      <c r="B36" s="29" t="str">
        <f t="shared" si="0"/>
        <v>3</v>
      </c>
      <c r="C36" s="10" t="str">
        <f t="shared" si="1"/>
        <v>E</v>
      </c>
      <c r="D36" s="10" t="str">
        <f t="shared" si="2"/>
        <v>0</v>
      </c>
      <c r="E36" s="10" t="str">
        <f t="shared" si="3"/>
        <v>0</v>
      </c>
      <c r="F36" s="11" t="str">
        <f t="shared" si="4"/>
        <v>0</v>
      </c>
      <c r="G36" s="9" t="str">
        <f t="shared" si="5"/>
        <v>0</v>
      </c>
      <c r="H36" s="10" t="str">
        <f t="shared" si="6"/>
        <v>1</v>
      </c>
      <c r="I36" s="10" t="str">
        <f t="shared" si="7"/>
        <v>1</v>
      </c>
      <c r="J36" s="10" t="str">
        <f t="shared" si="8"/>
        <v>1</v>
      </c>
      <c r="K36" s="10" t="str">
        <f t="shared" si="9"/>
        <v>1</v>
      </c>
      <c r="L36" s="10" t="str">
        <f t="shared" si="10"/>
        <v>1</v>
      </c>
      <c r="M36" s="10" t="str">
        <f t="shared" si="11"/>
        <v>0</v>
      </c>
      <c r="N36" s="10" t="str">
        <f t="shared" si="12"/>
        <v>0</v>
      </c>
      <c r="O36" s="10" t="str">
        <f t="shared" si="13"/>
        <v>0</v>
      </c>
      <c r="P36" s="10" t="str">
        <f t="shared" si="14"/>
        <v>0</v>
      </c>
      <c r="Q36" s="10" t="str">
        <f t="shared" si="15"/>
        <v>0</v>
      </c>
      <c r="R36" s="10" t="str">
        <f t="shared" si="16"/>
        <v>0</v>
      </c>
      <c r="S36" s="10" t="str">
        <f t="shared" si="17"/>
        <v>0</v>
      </c>
      <c r="T36" s="10" t="str">
        <f t="shared" si="18"/>
        <v>0</v>
      </c>
      <c r="U36" s="10" t="str">
        <f t="shared" si="19"/>
        <v>0</v>
      </c>
      <c r="V36" s="10" t="str">
        <f t="shared" si="20"/>
        <v>0</v>
      </c>
      <c r="W36" s="10" t="str">
        <f t="shared" si="21"/>
        <v>0</v>
      </c>
      <c r="X36" s="10" t="str">
        <f t="shared" si="22"/>
        <v>0</v>
      </c>
      <c r="Y36" s="11" t="str">
        <f t="shared" si="23"/>
        <v>0</v>
      </c>
      <c r="Z36" s="8">
        <v>31</v>
      </c>
      <c r="AA36" s="15" t="s">
        <v>2</v>
      </c>
      <c r="AB36" s="33"/>
      <c r="AC36" s="75"/>
      <c r="AD36" s="33"/>
      <c r="AE36" s="34"/>
      <c r="AH36" s="1"/>
    </row>
    <row r="37" spans="1:34" x14ac:dyDescent="0.25">
      <c r="A37" s="31" t="s">
        <v>59</v>
      </c>
      <c r="B37" s="29" t="str">
        <f t="shared" si="0"/>
        <v>4</v>
      </c>
      <c r="C37" s="10" t="str">
        <f t="shared" si="1"/>
        <v>0</v>
      </c>
      <c r="D37" s="10" t="str">
        <f t="shared" si="2"/>
        <v>0</v>
      </c>
      <c r="E37" s="10" t="str">
        <f t="shared" si="3"/>
        <v>0</v>
      </c>
      <c r="F37" s="11" t="str">
        <f t="shared" si="4"/>
        <v>0</v>
      </c>
      <c r="G37" s="9" t="str">
        <f t="shared" si="5"/>
        <v>1</v>
      </c>
      <c r="H37" s="10" t="str">
        <f t="shared" si="6"/>
        <v>0</v>
      </c>
      <c r="I37" s="10" t="str">
        <f t="shared" si="7"/>
        <v>0</v>
      </c>
      <c r="J37" s="10" t="str">
        <f t="shared" si="8"/>
        <v>0</v>
      </c>
      <c r="K37" s="10" t="str">
        <f t="shared" si="9"/>
        <v>0</v>
      </c>
      <c r="L37" s="10" t="str">
        <f t="shared" si="10"/>
        <v>0</v>
      </c>
      <c r="M37" s="10" t="str">
        <f t="shared" si="11"/>
        <v>0</v>
      </c>
      <c r="N37" s="10" t="str">
        <f t="shared" si="12"/>
        <v>0</v>
      </c>
      <c r="O37" s="10" t="str">
        <f t="shared" si="13"/>
        <v>0</v>
      </c>
      <c r="P37" s="10" t="str">
        <f t="shared" si="14"/>
        <v>0</v>
      </c>
      <c r="Q37" s="10" t="str">
        <f t="shared" si="15"/>
        <v>0</v>
      </c>
      <c r="R37" s="10" t="str">
        <f t="shared" si="16"/>
        <v>0</v>
      </c>
      <c r="S37" s="10" t="str">
        <f t="shared" si="17"/>
        <v>0</v>
      </c>
      <c r="T37" s="10" t="str">
        <f t="shared" si="18"/>
        <v>0</v>
      </c>
      <c r="U37" s="10" t="str">
        <f t="shared" si="19"/>
        <v>0</v>
      </c>
      <c r="V37" s="10" t="str">
        <f t="shared" si="20"/>
        <v>0</v>
      </c>
      <c r="W37" s="10" t="str">
        <f t="shared" si="21"/>
        <v>0</v>
      </c>
      <c r="X37" s="10" t="str">
        <f t="shared" si="22"/>
        <v>0</v>
      </c>
      <c r="Y37" s="11" t="str">
        <f t="shared" si="23"/>
        <v>0</v>
      </c>
      <c r="Z37" s="22">
        <v>32</v>
      </c>
      <c r="AA37" s="15" t="s">
        <v>2</v>
      </c>
      <c r="AB37" s="33">
        <v>32</v>
      </c>
      <c r="AC37" s="33" t="s">
        <v>0</v>
      </c>
      <c r="AD37" s="33">
        <v>32</v>
      </c>
      <c r="AE37" s="34" t="s">
        <v>1</v>
      </c>
      <c r="AH37" s="1"/>
    </row>
    <row r="38" spans="1:34" x14ac:dyDescent="0.25">
      <c r="A38" s="31" t="s">
        <v>60</v>
      </c>
      <c r="B38" s="29" t="str">
        <f t="shared" si="0"/>
        <v>4</v>
      </c>
      <c r="C38" s="10" t="str">
        <f t="shared" si="1"/>
        <v>2</v>
      </c>
      <c r="D38" s="10" t="str">
        <f t="shared" si="2"/>
        <v>0</v>
      </c>
      <c r="E38" s="10" t="str">
        <f t="shared" si="3"/>
        <v>0</v>
      </c>
      <c r="F38" s="11" t="str">
        <f t="shared" si="4"/>
        <v>0</v>
      </c>
      <c r="G38" s="9" t="str">
        <f t="shared" si="5"/>
        <v>1</v>
      </c>
      <c r="H38" s="10" t="str">
        <f t="shared" si="6"/>
        <v>0</v>
      </c>
      <c r="I38" s="10" t="str">
        <f t="shared" si="7"/>
        <v>0</v>
      </c>
      <c r="J38" s="10" t="str">
        <f t="shared" si="8"/>
        <v>0</v>
      </c>
      <c r="K38" s="10" t="str">
        <f t="shared" si="9"/>
        <v>0</v>
      </c>
      <c r="L38" s="10" t="str">
        <f t="shared" si="10"/>
        <v>1</v>
      </c>
      <c r="M38" s="10" t="str">
        <f t="shared" si="11"/>
        <v>0</v>
      </c>
      <c r="N38" s="10" t="str">
        <f t="shared" si="12"/>
        <v>0</v>
      </c>
      <c r="O38" s="10" t="str">
        <f t="shared" si="13"/>
        <v>0</v>
      </c>
      <c r="P38" s="10" t="str">
        <f t="shared" si="14"/>
        <v>0</v>
      </c>
      <c r="Q38" s="10" t="str">
        <f t="shared" si="15"/>
        <v>0</v>
      </c>
      <c r="R38" s="10" t="str">
        <f t="shared" si="16"/>
        <v>0</v>
      </c>
      <c r="S38" s="10" t="str">
        <f t="shared" si="17"/>
        <v>0</v>
      </c>
      <c r="T38" s="10" t="str">
        <f t="shared" si="18"/>
        <v>0</v>
      </c>
      <c r="U38" s="10" t="str">
        <f t="shared" si="19"/>
        <v>0</v>
      </c>
      <c r="V38" s="10" t="str">
        <f t="shared" si="20"/>
        <v>0</v>
      </c>
      <c r="W38" s="10" t="str">
        <f t="shared" si="21"/>
        <v>0</v>
      </c>
      <c r="X38" s="10" t="str">
        <f t="shared" si="22"/>
        <v>0</v>
      </c>
      <c r="Y38" s="11" t="str">
        <f t="shared" si="23"/>
        <v>0</v>
      </c>
      <c r="Z38" s="8">
        <v>33</v>
      </c>
      <c r="AA38" s="15" t="s">
        <v>2</v>
      </c>
      <c r="AB38" s="33"/>
      <c r="AC38" s="33"/>
      <c r="AD38" s="33"/>
      <c r="AE38" s="34"/>
      <c r="AH38" s="1"/>
    </row>
    <row r="39" spans="1:34" x14ac:dyDescent="0.25">
      <c r="A39" s="31" t="s">
        <v>61</v>
      </c>
      <c r="B39" s="29" t="str">
        <f t="shared" si="0"/>
        <v>4</v>
      </c>
      <c r="C39" s="10" t="str">
        <f t="shared" si="1"/>
        <v>4</v>
      </c>
      <c r="D39" s="10" t="str">
        <f t="shared" si="2"/>
        <v>0</v>
      </c>
      <c r="E39" s="10" t="str">
        <f t="shared" si="3"/>
        <v>0</v>
      </c>
      <c r="F39" s="11" t="str">
        <f t="shared" si="4"/>
        <v>0</v>
      </c>
      <c r="G39" s="9" t="str">
        <f t="shared" si="5"/>
        <v>1</v>
      </c>
      <c r="H39" s="10" t="str">
        <f t="shared" si="6"/>
        <v>0</v>
      </c>
      <c r="I39" s="10" t="str">
        <f t="shared" si="7"/>
        <v>0</v>
      </c>
      <c r="J39" s="10" t="str">
        <f t="shared" si="8"/>
        <v>0</v>
      </c>
      <c r="K39" s="10" t="str">
        <f t="shared" si="9"/>
        <v>1</v>
      </c>
      <c r="L39" s="10" t="str">
        <f t="shared" si="10"/>
        <v>0</v>
      </c>
      <c r="M39" s="10" t="str">
        <f t="shared" si="11"/>
        <v>0</v>
      </c>
      <c r="N39" s="10" t="str">
        <f t="shared" si="12"/>
        <v>0</v>
      </c>
      <c r="O39" s="10" t="str">
        <f t="shared" si="13"/>
        <v>0</v>
      </c>
      <c r="P39" s="10" t="str">
        <f t="shared" si="14"/>
        <v>0</v>
      </c>
      <c r="Q39" s="10" t="str">
        <f t="shared" si="15"/>
        <v>0</v>
      </c>
      <c r="R39" s="10" t="str">
        <f t="shared" si="16"/>
        <v>0</v>
      </c>
      <c r="S39" s="10" t="str">
        <f t="shared" si="17"/>
        <v>0</v>
      </c>
      <c r="T39" s="10" t="str">
        <f t="shared" si="18"/>
        <v>0</v>
      </c>
      <c r="U39" s="10" t="str">
        <f t="shared" si="19"/>
        <v>0</v>
      </c>
      <c r="V39" s="10" t="str">
        <f t="shared" si="20"/>
        <v>0</v>
      </c>
      <c r="W39" s="10" t="str">
        <f t="shared" si="21"/>
        <v>0</v>
      </c>
      <c r="X39" s="10" t="str">
        <f t="shared" si="22"/>
        <v>0</v>
      </c>
      <c r="Y39" s="11" t="str">
        <f t="shared" si="23"/>
        <v>0</v>
      </c>
      <c r="Z39" s="8">
        <v>34</v>
      </c>
      <c r="AA39" s="15" t="s">
        <v>2</v>
      </c>
      <c r="AB39" s="33">
        <v>34</v>
      </c>
      <c r="AC39" s="33" t="s">
        <v>0</v>
      </c>
      <c r="AD39" s="33"/>
      <c r="AE39" s="34"/>
      <c r="AH39" s="1"/>
    </row>
    <row r="40" spans="1:34" x14ac:dyDescent="0.25">
      <c r="A40" s="31" t="s">
        <v>62</v>
      </c>
      <c r="B40" s="29" t="str">
        <f t="shared" si="0"/>
        <v>4</v>
      </c>
      <c r="C40" s="10" t="str">
        <f t="shared" si="1"/>
        <v>6</v>
      </c>
      <c r="D40" s="10" t="str">
        <f t="shared" si="2"/>
        <v>0</v>
      </c>
      <c r="E40" s="10" t="str">
        <f t="shared" si="3"/>
        <v>0</v>
      </c>
      <c r="F40" s="11" t="str">
        <f t="shared" si="4"/>
        <v>0</v>
      </c>
      <c r="G40" s="9" t="str">
        <f t="shared" si="5"/>
        <v>1</v>
      </c>
      <c r="H40" s="10" t="str">
        <f t="shared" si="6"/>
        <v>0</v>
      </c>
      <c r="I40" s="10" t="str">
        <f t="shared" si="7"/>
        <v>0</v>
      </c>
      <c r="J40" s="10" t="str">
        <f t="shared" si="8"/>
        <v>0</v>
      </c>
      <c r="K40" s="10" t="str">
        <f t="shared" si="9"/>
        <v>1</v>
      </c>
      <c r="L40" s="10" t="str">
        <f t="shared" si="10"/>
        <v>1</v>
      </c>
      <c r="M40" s="10" t="str">
        <f t="shared" si="11"/>
        <v>0</v>
      </c>
      <c r="N40" s="10" t="str">
        <f t="shared" si="12"/>
        <v>0</v>
      </c>
      <c r="O40" s="10" t="str">
        <f t="shared" si="13"/>
        <v>0</v>
      </c>
      <c r="P40" s="10" t="str">
        <f t="shared" si="14"/>
        <v>0</v>
      </c>
      <c r="Q40" s="10" t="str">
        <f t="shared" si="15"/>
        <v>0</v>
      </c>
      <c r="R40" s="10" t="str">
        <f t="shared" si="16"/>
        <v>0</v>
      </c>
      <c r="S40" s="10" t="str">
        <f t="shared" si="17"/>
        <v>0</v>
      </c>
      <c r="T40" s="10" t="str">
        <f t="shared" si="18"/>
        <v>0</v>
      </c>
      <c r="U40" s="10" t="str">
        <f t="shared" si="19"/>
        <v>0</v>
      </c>
      <c r="V40" s="10" t="str">
        <f t="shared" si="20"/>
        <v>0</v>
      </c>
      <c r="W40" s="10" t="str">
        <f t="shared" si="21"/>
        <v>0</v>
      </c>
      <c r="X40" s="10" t="str">
        <f t="shared" si="22"/>
        <v>0</v>
      </c>
      <c r="Y40" s="11" t="str">
        <f t="shared" si="23"/>
        <v>0</v>
      </c>
      <c r="Z40" s="22">
        <v>35</v>
      </c>
      <c r="AA40" s="15" t="s">
        <v>2</v>
      </c>
      <c r="AB40" s="33"/>
      <c r="AC40" s="33"/>
      <c r="AD40" s="33"/>
      <c r="AE40" s="34"/>
      <c r="AH40" s="1"/>
    </row>
    <row r="41" spans="1:34" x14ac:dyDescent="0.25">
      <c r="A41" s="31" t="s">
        <v>63</v>
      </c>
      <c r="B41" s="29" t="str">
        <f t="shared" si="0"/>
        <v>4</v>
      </c>
      <c r="C41" s="10" t="str">
        <f t="shared" si="1"/>
        <v>8</v>
      </c>
      <c r="D41" s="10" t="str">
        <f t="shared" si="2"/>
        <v>0</v>
      </c>
      <c r="E41" s="10" t="str">
        <f t="shared" si="3"/>
        <v>0</v>
      </c>
      <c r="F41" s="11" t="str">
        <f t="shared" si="4"/>
        <v>0</v>
      </c>
      <c r="G41" s="9" t="str">
        <f t="shared" si="5"/>
        <v>1</v>
      </c>
      <c r="H41" s="10" t="str">
        <f t="shared" si="6"/>
        <v>0</v>
      </c>
      <c r="I41" s="10" t="str">
        <f t="shared" si="7"/>
        <v>0</v>
      </c>
      <c r="J41" s="10" t="str">
        <f t="shared" si="8"/>
        <v>1</v>
      </c>
      <c r="K41" s="10" t="str">
        <f t="shared" si="9"/>
        <v>0</v>
      </c>
      <c r="L41" s="10" t="str">
        <f t="shared" si="10"/>
        <v>0</v>
      </c>
      <c r="M41" s="10" t="str">
        <f t="shared" si="11"/>
        <v>0</v>
      </c>
      <c r="N41" s="10" t="str">
        <f t="shared" si="12"/>
        <v>0</v>
      </c>
      <c r="O41" s="10" t="str">
        <f t="shared" si="13"/>
        <v>0</v>
      </c>
      <c r="P41" s="10" t="str">
        <f t="shared" si="14"/>
        <v>0</v>
      </c>
      <c r="Q41" s="10" t="str">
        <f t="shared" si="15"/>
        <v>0</v>
      </c>
      <c r="R41" s="10" t="str">
        <f t="shared" si="16"/>
        <v>0</v>
      </c>
      <c r="S41" s="10" t="str">
        <f t="shared" si="17"/>
        <v>0</v>
      </c>
      <c r="T41" s="10" t="str">
        <f t="shared" si="18"/>
        <v>0</v>
      </c>
      <c r="U41" s="10" t="str">
        <f t="shared" si="19"/>
        <v>0</v>
      </c>
      <c r="V41" s="10" t="str">
        <f t="shared" si="20"/>
        <v>0</v>
      </c>
      <c r="W41" s="10" t="str">
        <f t="shared" si="21"/>
        <v>0</v>
      </c>
      <c r="X41" s="10" t="str">
        <f t="shared" si="22"/>
        <v>0</v>
      </c>
      <c r="Y41" s="11" t="str">
        <f t="shared" si="23"/>
        <v>0</v>
      </c>
      <c r="Z41" s="8">
        <v>36</v>
      </c>
      <c r="AA41" s="15" t="s">
        <v>2</v>
      </c>
      <c r="AB41" s="33">
        <v>36</v>
      </c>
      <c r="AC41" s="33" t="s">
        <v>0</v>
      </c>
      <c r="AD41" s="33">
        <v>36</v>
      </c>
      <c r="AE41" s="34" t="s">
        <v>1</v>
      </c>
      <c r="AH41" s="1"/>
    </row>
    <row r="42" spans="1:34" x14ac:dyDescent="0.25">
      <c r="A42" s="31" t="s">
        <v>64</v>
      </c>
      <c r="B42" s="29" t="str">
        <f t="shared" si="0"/>
        <v>4</v>
      </c>
      <c r="C42" s="10" t="str">
        <f t="shared" si="1"/>
        <v>A</v>
      </c>
      <c r="D42" s="10" t="str">
        <f t="shared" si="2"/>
        <v>0</v>
      </c>
      <c r="E42" s="10" t="str">
        <f t="shared" si="3"/>
        <v>0</v>
      </c>
      <c r="F42" s="11" t="str">
        <f t="shared" si="4"/>
        <v>0</v>
      </c>
      <c r="G42" s="9" t="str">
        <f t="shared" si="5"/>
        <v>1</v>
      </c>
      <c r="H42" s="10" t="str">
        <f t="shared" si="6"/>
        <v>0</v>
      </c>
      <c r="I42" s="10" t="str">
        <f t="shared" si="7"/>
        <v>0</v>
      </c>
      <c r="J42" s="10" t="str">
        <f t="shared" si="8"/>
        <v>1</v>
      </c>
      <c r="K42" s="10" t="str">
        <f t="shared" si="9"/>
        <v>0</v>
      </c>
      <c r="L42" s="10" t="str">
        <f t="shared" si="10"/>
        <v>1</v>
      </c>
      <c r="M42" s="10" t="str">
        <f t="shared" si="11"/>
        <v>0</v>
      </c>
      <c r="N42" s="10" t="str">
        <f t="shared" si="12"/>
        <v>0</v>
      </c>
      <c r="O42" s="10" t="str">
        <f t="shared" si="13"/>
        <v>0</v>
      </c>
      <c r="P42" s="10" t="str">
        <f t="shared" si="14"/>
        <v>0</v>
      </c>
      <c r="Q42" s="10" t="str">
        <f t="shared" si="15"/>
        <v>0</v>
      </c>
      <c r="R42" s="10" t="str">
        <f t="shared" si="16"/>
        <v>0</v>
      </c>
      <c r="S42" s="10" t="str">
        <f t="shared" si="17"/>
        <v>0</v>
      </c>
      <c r="T42" s="10" t="str">
        <f t="shared" si="18"/>
        <v>0</v>
      </c>
      <c r="U42" s="10" t="str">
        <f t="shared" si="19"/>
        <v>0</v>
      </c>
      <c r="V42" s="10" t="str">
        <f t="shared" si="20"/>
        <v>0</v>
      </c>
      <c r="W42" s="10" t="str">
        <f t="shared" si="21"/>
        <v>0</v>
      </c>
      <c r="X42" s="10" t="str">
        <f t="shared" si="22"/>
        <v>0</v>
      </c>
      <c r="Y42" s="11" t="str">
        <f t="shared" si="23"/>
        <v>0</v>
      </c>
      <c r="Z42" s="8">
        <v>37</v>
      </c>
      <c r="AA42" s="15" t="s">
        <v>2</v>
      </c>
      <c r="AB42" s="33"/>
      <c r="AC42" s="33"/>
      <c r="AD42" s="33"/>
      <c r="AE42" s="34"/>
      <c r="AH42" s="1"/>
    </row>
    <row r="43" spans="1:34" x14ac:dyDescent="0.25">
      <c r="A43" s="31" t="s">
        <v>65</v>
      </c>
      <c r="B43" s="29" t="str">
        <f t="shared" si="0"/>
        <v>4</v>
      </c>
      <c r="C43" s="10" t="str">
        <f t="shared" si="1"/>
        <v>C</v>
      </c>
      <c r="D43" s="10" t="str">
        <f t="shared" si="2"/>
        <v>0</v>
      </c>
      <c r="E43" s="10" t="str">
        <f t="shared" si="3"/>
        <v>0</v>
      </c>
      <c r="F43" s="11" t="str">
        <f t="shared" si="4"/>
        <v>0</v>
      </c>
      <c r="G43" s="9" t="str">
        <f t="shared" si="5"/>
        <v>1</v>
      </c>
      <c r="H43" s="10" t="str">
        <f t="shared" si="6"/>
        <v>0</v>
      </c>
      <c r="I43" s="10" t="str">
        <f t="shared" si="7"/>
        <v>0</v>
      </c>
      <c r="J43" s="10" t="str">
        <f t="shared" si="8"/>
        <v>1</v>
      </c>
      <c r="K43" s="10" t="str">
        <f t="shared" si="9"/>
        <v>1</v>
      </c>
      <c r="L43" s="10" t="str">
        <f t="shared" si="10"/>
        <v>0</v>
      </c>
      <c r="M43" s="10" t="str">
        <f t="shared" si="11"/>
        <v>0</v>
      </c>
      <c r="N43" s="10" t="str">
        <f t="shared" si="12"/>
        <v>0</v>
      </c>
      <c r="O43" s="10" t="str">
        <f t="shared" si="13"/>
        <v>0</v>
      </c>
      <c r="P43" s="10" t="str">
        <f t="shared" si="14"/>
        <v>0</v>
      </c>
      <c r="Q43" s="10" t="str">
        <f t="shared" si="15"/>
        <v>0</v>
      </c>
      <c r="R43" s="10" t="str">
        <f t="shared" si="16"/>
        <v>0</v>
      </c>
      <c r="S43" s="10" t="str">
        <f t="shared" si="17"/>
        <v>0</v>
      </c>
      <c r="T43" s="10" t="str">
        <f t="shared" si="18"/>
        <v>0</v>
      </c>
      <c r="U43" s="10" t="str">
        <f t="shared" si="19"/>
        <v>0</v>
      </c>
      <c r="V43" s="10" t="str">
        <f t="shared" si="20"/>
        <v>0</v>
      </c>
      <c r="W43" s="10" t="str">
        <f t="shared" si="21"/>
        <v>0</v>
      </c>
      <c r="X43" s="10" t="str">
        <f t="shared" si="22"/>
        <v>0</v>
      </c>
      <c r="Y43" s="11" t="str">
        <f t="shared" si="23"/>
        <v>0</v>
      </c>
      <c r="Z43" s="8">
        <v>38</v>
      </c>
      <c r="AA43" s="15" t="s">
        <v>2</v>
      </c>
      <c r="AB43" s="33">
        <v>38</v>
      </c>
      <c r="AC43" s="33" t="s">
        <v>0</v>
      </c>
      <c r="AD43" s="33"/>
      <c r="AE43" s="34"/>
      <c r="AH43" s="1"/>
    </row>
    <row r="44" spans="1:34" x14ac:dyDescent="0.25">
      <c r="A44" s="31" t="s">
        <v>66</v>
      </c>
      <c r="B44" s="29" t="str">
        <f t="shared" si="0"/>
        <v>4</v>
      </c>
      <c r="C44" s="10" t="str">
        <f t="shared" si="1"/>
        <v>E</v>
      </c>
      <c r="D44" s="10" t="str">
        <f t="shared" si="2"/>
        <v>0</v>
      </c>
      <c r="E44" s="10" t="str">
        <f t="shared" si="3"/>
        <v>0</v>
      </c>
      <c r="F44" s="11" t="str">
        <f t="shared" si="4"/>
        <v>0</v>
      </c>
      <c r="G44" s="9" t="str">
        <f t="shared" si="5"/>
        <v>1</v>
      </c>
      <c r="H44" s="10" t="str">
        <f t="shared" si="6"/>
        <v>0</v>
      </c>
      <c r="I44" s="10" t="str">
        <f t="shared" si="7"/>
        <v>0</v>
      </c>
      <c r="J44" s="10" t="str">
        <f t="shared" si="8"/>
        <v>1</v>
      </c>
      <c r="K44" s="10" t="str">
        <f t="shared" si="9"/>
        <v>1</v>
      </c>
      <c r="L44" s="10" t="str">
        <f t="shared" si="10"/>
        <v>1</v>
      </c>
      <c r="M44" s="10" t="str">
        <f t="shared" si="11"/>
        <v>0</v>
      </c>
      <c r="N44" s="10" t="str">
        <f t="shared" si="12"/>
        <v>0</v>
      </c>
      <c r="O44" s="10" t="str">
        <f t="shared" si="13"/>
        <v>0</v>
      </c>
      <c r="P44" s="10" t="str">
        <f t="shared" si="14"/>
        <v>0</v>
      </c>
      <c r="Q44" s="10" t="str">
        <f t="shared" si="15"/>
        <v>0</v>
      </c>
      <c r="R44" s="10" t="str">
        <f t="shared" si="16"/>
        <v>0</v>
      </c>
      <c r="S44" s="10" t="str">
        <f t="shared" si="17"/>
        <v>0</v>
      </c>
      <c r="T44" s="10" t="str">
        <f t="shared" si="18"/>
        <v>0</v>
      </c>
      <c r="U44" s="10" t="str">
        <f t="shared" si="19"/>
        <v>0</v>
      </c>
      <c r="V44" s="10" t="str">
        <f t="shared" si="20"/>
        <v>0</v>
      </c>
      <c r="W44" s="10" t="str">
        <f t="shared" si="21"/>
        <v>0</v>
      </c>
      <c r="X44" s="10" t="str">
        <f t="shared" si="22"/>
        <v>0</v>
      </c>
      <c r="Y44" s="11" t="str">
        <f t="shared" si="23"/>
        <v>0</v>
      </c>
      <c r="Z44" s="8">
        <v>39</v>
      </c>
      <c r="AA44" s="15" t="s">
        <v>2</v>
      </c>
      <c r="AB44" s="33"/>
      <c r="AC44" s="33"/>
      <c r="AD44" s="33"/>
      <c r="AE44" s="34"/>
      <c r="AH44" s="1"/>
    </row>
    <row r="45" spans="1:34" x14ac:dyDescent="0.25">
      <c r="A45" s="31" t="s">
        <v>67</v>
      </c>
      <c r="B45" s="29" t="str">
        <f t="shared" si="0"/>
        <v>5</v>
      </c>
      <c r="C45" s="10" t="str">
        <f t="shared" ref="C45:C48" si="24">IFERROR((MID(A45,(LEN(A45)-3),1)),0)</f>
        <v>0</v>
      </c>
      <c r="D45" s="10" t="str">
        <f t="shared" ref="D45:D48" si="25">IFERROR((MID(A45,(LEN(A45)-2),1)),0)</f>
        <v>0</v>
      </c>
      <c r="E45" s="10" t="str">
        <f t="shared" ref="E45:E48" si="26">IFERROR((MID(A45,(LEN(A45)-1),1)),0)</f>
        <v>0</v>
      </c>
      <c r="F45" s="11" t="str">
        <f t="shared" ref="F45:F48" si="27">IFERROR((MID(A45,(LEN(A45)),1)),0)</f>
        <v>0</v>
      </c>
      <c r="G45" s="9" t="str">
        <f t="shared" ref="G45:G48" si="28">MID((HEX2BIN(B45,4)),2,1)</f>
        <v>1</v>
      </c>
      <c r="H45" s="10" t="str">
        <f t="shared" ref="H45:H48" si="29">MID((HEX2BIN(B45,4)),3,1)</f>
        <v>0</v>
      </c>
      <c r="I45" s="10" t="str">
        <f t="shared" ref="I45:I48" si="30">MID((HEX2BIN(B45,4)),4,1)</f>
        <v>1</v>
      </c>
      <c r="J45" s="10" t="str">
        <f t="shared" ref="J45:J48" si="31">MID((HEX2BIN(C45,4)),1,1)</f>
        <v>0</v>
      </c>
      <c r="K45" s="10" t="str">
        <f t="shared" ref="K45:K48" si="32">MID((HEX2BIN(C45,4)),2,1)</f>
        <v>0</v>
      </c>
      <c r="L45" s="10" t="str">
        <f t="shared" ref="L45:L48" si="33">MID((HEX2BIN(C45,4)),3,1)</f>
        <v>0</v>
      </c>
      <c r="M45" s="10" t="str">
        <f t="shared" ref="M45:M48" si="34">MID((HEX2BIN(C45,4)),4,1)</f>
        <v>0</v>
      </c>
      <c r="N45" s="10" t="str">
        <f t="shared" ref="N45:N48" si="35">MID((HEX2BIN(D45,4)),1,1)</f>
        <v>0</v>
      </c>
      <c r="O45" s="10" t="str">
        <f t="shared" ref="O45:O48" si="36">MID((HEX2BIN(D45,4)),2,1)</f>
        <v>0</v>
      </c>
      <c r="P45" s="10" t="str">
        <f t="shared" ref="P45:P48" si="37">MID((HEX2BIN(D45,4)),3,1)</f>
        <v>0</v>
      </c>
      <c r="Q45" s="10" t="str">
        <f t="shared" ref="Q45:Q48" si="38">MID((HEX2BIN(D45,4)),4,1)</f>
        <v>0</v>
      </c>
      <c r="R45" s="10" t="str">
        <f t="shared" ref="R45:R48" si="39">MID((HEX2BIN(E45,4)),1,1)</f>
        <v>0</v>
      </c>
      <c r="S45" s="10" t="str">
        <f t="shared" ref="S45:S48" si="40">MID((HEX2BIN(E45,4)),2,1)</f>
        <v>0</v>
      </c>
      <c r="T45" s="10" t="str">
        <f t="shared" ref="T45:T48" si="41">MID((HEX2BIN(E45,4)),3,1)</f>
        <v>0</v>
      </c>
      <c r="U45" s="10" t="str">
        <f t="shared" ref="U45:U48" si="42">MID((HEX2BIN(E45,4)),4,1)</f>
        <v>0</v>
      </c>
      <c r="V45" s="10" t="str">
        <f t="shared" ref="V45:V48" si="43">MID((HEX2BIN(F45,4)),1,1)</f>
        <v>0</v>
      </c>
      <c r="W45" s="10" t="str">
        <f t="shared" ref="W45:W48" si="44">MID((HEX2BIN(F45,4)),2,1)</f>
        <v>0</v>
      </c>
      <c r="X45" s="10" t="str">
        <f t="shared" ref="X45:X48" si="45">MID((HEX2BIN(F45,4)),3,1)</f>
        <v>0</v>
      </c>
      <c r="Y45" s="11" t="str">
        <f t="shared" ref="Y45:Y48" si="46">MID((HEX2BIN(F45,4)),4,1)</f>
        <v>0</v>
      </c>
      <c r="Z45" s="8">
        <v>40</v>
      </c>
      <c r="AA45" s="15" t="s">
        <v>2</v>
      </c>
      <c r="AB45" s="33">
        <v>40</v>
      </c>
      <c r="AC45" s="33" t="s">
        <v>0</v>
      </c>
      <c r="AD45" s="33">
        <v>40</v>
      </c>
      <c r="AE45" s="34" t="s">
        <v>1</v>
      </c>
    </row>
    <row r="46" spans="1:34" x14ac:dyDescent="0.25">
      <c r="A46" s="31" t="s">
        <v>68</v>
      </c>
      <c r="B46" s="29" t="str">
        <f t="shared" si="0"/>
        <v>5</v>
      </c>
      <c r="C46" s="10" t="str">
        <f t="shared" si="24"/>
        <v>2</v>
      </c>
      <c r="D46" s="10" t="str">
        <f t="shared" si="25"/>
        <v>0</v>
      </c>
      <c r="E46" s="10" t="str">
        <f t="shared" si="26"/>
        <v>0</v>
      </c>
      <c r="F46" s="11" t="str">
        <f t="shared" si="27"/>
        <v>0</v>
      </c>
      <c r="G46" s="9" t="str">
        <f t="shared" si="28"/>
        <v>1</v>
      </c>
      <c r="H46" s="10" t="str">
        <f t="shared" si="29"/>
        <v>0</v>
      </c>
      <c r="I46" s="10" t="str">
        <f t="shared" si="30"/>
        <v>1</v>
      </c>
      <c r="J46" s="10" t="str">
        <f t="shared" si="31"/>
        <v>0</v>
      </c>
      <c r="K46" s="10" t="str">
        <f t="shared" si="32"/>
        <v>0</v>
      </c>
      <c r="L46" s="10" t="str">
        <f t="shared" si="33"/>
        <v>1</v>
      </c>
      <c r="M46" s="10" t="str">
        <f t="shared" si="34"/>
        <v>0</v>
      </c>
      <c r="N46" s="10" t="str">
        <f t="shared" si="35"/>
        <v>0</v>
      </c>
      <c r="O46" s="10" t="str">
        <f t="shared" si="36"/>
        <v>0</v>
      </c>
      <c r="P46" s="10" t="str">
        <f t="shared" si="37"/>
        <v>0</v>
      </c>
      <c r="Q46" s="10" t="str">
        <f t="shared" si="38"/>
        <v>0</v>
      </c>
      <c r="R46" s="10" t="str">
        <f t="shared" si="39"/>
        <v>0</v>
      </c>
      <c r="S46" s="10" t="str">
        <f t="shared" si="40"/>
        <v>0</v>
      </c>
      <c r="T46" s="10" t="str">
        <f t="shared" si="41"/>
        <v>0</v>
      </c>
      <c r="U46" s="10" t="str">
        <f t="shared" si="42"/>
        <v>0</v>
      </c>
      <c r="V46" s="10" t="str">
        <f t="shared" si="43"/>
        <v>0</v>
      </c>
      <c r="W46" s="10" t="str">
        <f t="shared" si="44"/>
        <v>0</v>
      </c>
      <c r="X46" s="10" t="str">
        <f t="shared" si="45"/>
        <v>0</v>
      </c>
      <c r="Y46" s="11" t="str">
        <f t="shared" si="46"/>
        <v>0</v>
      </c>
      <c r="Z46" s="8">
        <v>41</v>
      </c>
      <c r="AA46" s="15" t="s">
        <v>2</v>
      </c>
      <c r="AB46" s="33"/>
      <c r="AC46" s="33"/>
      <c r="AD46" s="33"/>
      <c r="AE46" s="34"/>
    </row>
    <row r="47" spans="1:34" x14ac:dyDescent="0.25">
      <c r="A47" s="31" t="s">
        <v>69</v>
      </c>
      <c r="B47" s="29" t="str">
        <f t="shared" si="0"/>
        <v>5</v>
      </c>
      <c r="C47" s="10" t="str">
        <f t="shared" si="24"/>
        <v>4</v>
      </c>
      <c r="D47" s="10" t="str">
        <f t="shared" si="25"/>
        <v>0</v>
      </c>
      <c r="E47" s="10" t="str">
        <f t="shared" si="26"/>
        <v>0</v>
      </c>
      <c r="F47" s="11" t="str">
        <f t="shared" si="27"/>
        <v>0</v>
      </c>
      <c r="G47" s="9" t="str">
        <f t="shared" si="28"/>
        <v>1</v>
      </c>
      <c r="H47" s="10" t="str">
        <f t="shared" si="29"/>
        <v>0</v>
      </c>
      <c r="I47" s="10" t="str">
        <f t="shared" si="30"/>
        <v>1</v>
      </c>
      <c r="J47" s="10" t="str">
        <f t="shared" si="31"/>
        <v>0</v>
      </c>
      <c r="K47" s="10" t="str">
        <f t="shared" si="32"/>
        <v>1</v>
      </c>
      <c r="L47" s="10" t="str">
        <f t="shared" si="33"/>
        <v>0</v>
      </c>
      <c r="M47" s="10" t="str">
        <f t="shared" si="34"/>
        <v>0</v>
      </c>
      <c r="N47" s="10" t="str">
        <f t="shared" si="35"/>
        <v>0</v>
      </c>
      <c r="O47" s="10" t="str">
        <f t="shared" si="36"/>
        <v>0</v>
      </c>
      <c r="P47" s="10" t="str">
        <f t="shared" si="37"/>
        <v>0</v>
      </c>
      <c r="Q47" s="10" t="str">
        <f t="shared" si="38"/>
        <v>0</v>
      </c>
      <c r="R47" s="10" t="str">
        <f t="shared" si="39"/>
        <v>0</v>
      </c>
      <c r="S47" s="10" t="str">
        <f t="shared" si="40"/>
        <v>0</v>
      </c>
      <c r="T47" s="10" t="str">
        <f t="shared" si="41"/>
        <v>0</v>
      </c>
      <c r="U47" s="10" t="str">
        <f t="shared" si="42"/>
        <v>0</v>
      </c>
      <c r="V47" s="10" t="str">
        <f t="shared" si="43"/>
        <v>0</v>
      </c>
      <c r="W47" s="10" t="str">
        <f t="shared" si="44"/>
        <v>0</v>
      </c>
      <c r="X47" s="10" t="str">
        <f t="shared" si="45"/>
        <v>0</v>
      </c>
      <c r="Y47" s="11" t="str">
        <f t="shared" si="46"/>
        <v>0</v>
      </c>
      <c r="Z47" s="8">
        <v>42</v>
      </c>
      <c r="AA47" s="15" t="s">
        <v>2</v>
      </c>
      <c r="AB47" s="33">
        <v>42</v>
      </c>
      <c r="AC47" s="33" t="s">
        <v>0</v>
      </c>
      <c r="AD47" s="33"/>
      <c r="AE47" s="34"/>
    </row>
    <row r="48" spans="1:34" x14ac:dyDescent="0.25">
      <c r="A48" s="31" t="s">
        <v>70</v>
      </c>
      <c r="B48" s="29" t="str">
        <f t="shared" si="0"/>
        <v>5</v>
      </c>
      <c r="C48" s="10" t="str">
        <f t="shared" si="24"/>
        <v>6</v>
      </c>
      <c r="D48" s="10" t="str">
        <f t="shared" si="25"/>
        <v>0</v>
      </c>
      <c r="E48" s="10" t="str">
        <f t="shared" si="26"/>
        <v>0</v>
      </c>
      <c r="F48" s="11" t="str">
        <f t="shared" si="27"/>
        <v>0</v>
      </c>
      <c r="G48" s="9" t="str">
        <f t="shared" si="28"/>
        <v>1</v>
      </c>
      <c r="H48" s="10" t="str">
        <f t="shared" si="29"/>
        <v>0</v>
      </c>
      <c r="I48" s="10" t="str">
        <f t="shared" si="30"/>
        <v>1</v>
      </c>
      <c r="J48" s="10" t="str">
        <f t="shared" si="31"/>
        <v>0</v>
      </c>
      <c r="K48" s="10" t="str">
        <f t="shared" si="32"/>
        <v>1</v>
      </c>
      <c r="L48" s="10" t="str">
        <f t="shared" si="33"/>
        <v>1</v>
      </c>
      <c r="M48" s="10" t="str">
        <f t="shared" si="34"/>
        <v>0</v>
      </c>
      <c r="N48" s="10" t="str">
        <f t="shared" si="35"/>
        <v>0</v>
      </c>
      <c r="O48" s="10" t="str">
        <f t="shared" si="36"/>
        <v>0</v>
      </c>
      <c r="P48" s="10" t="str">
        <f t="shared" si="37"/>
        <v>0</v>
      </c>
      <c r="Q48" s="10" t="str">
        <f t="shared" si="38"/>
        <v>0</v>
      </c>
      <c r="R48" s="10" t="str">
        <f t="shared" si="39"/>
        <v>0</v>
      </c>
      <c r="S48" s="10" t="str">
        <f t="shared" si="40"/>
        <v>0</v>
      </c>
      <c r="T48" s="10" t="str">
        <f t="shared" si="41"/>
        <v>0</v>
      </c>
      <c r="U48" s="10" t="str">
        <f t="shared" si="42"/>
        <v>0</v>
      </c>
      <c r="V48" s="10" t="str">
        <f t="shared" si="43"/>
        <v>0</v>
      </c>
      <c r="W48" s="10" t="str">
        <f t="shared" si="44"/>
        <v>0</v>
      </c>
      <c r="X48" s="10" t="str">
        <f t="shared" si="45"/>
        <v>0</v>
      </c>
      <c r="Y48" s="11" t="str">
        <f t="shared" si="46"/>
        <v>0</v>
      </c>
      <c r="Z48" s="8">
        <v>43</v>
      </c>
      <c r="AA48" s="15" t="s">
        <v>2</v>
      </c>
      <c r="AB48" s="33"/>
      <c r="AC48" s="33"/>
      <c r="AD48" s="33"/>
      <c r="AE48" s="34"/>
    </row>
    <row r="49" spans="1:31" x14ac:dyDescent="0.25">
      <c r="A49" s="31" t="s">
        <v>71</v>
      </c>
      <c r="B49" s="29" t="str">
        <f t="shared" si="0"/>
        <v>5</v>
      </c>
      <c r="C49" s="10" t="str">
        <f t="shared" ref="C49:C52" si="47">IFERROR((MID(A49,(LEN(A49)-3),1)),0)</f>
        <v>8</v>
      </c>
      <c r="D49" s="10" t="str">
        <f t="shared" ref="D49:D52" si="48">IFERROR((MID(A49,(LEN(A49)-2),1)),0)</f>
        <v>0</v>
      </c>
      <c r="E49" s="10" t="str">
        <f t="shared" ref="E49:E52" si="49">IFERROR((MID(A49,(LEN(A49)-1),1)),0)</f>
        <v>0</v>
      </c>
      <c r="F49" s="11" t="str">
        <f t="shared" ref="F49:F52" si="50">IFERROR((MID(A49,(LEN(A49)),1)),0)</f>
        <v>0</v>
      </c>
      <c r="G49" s="9" t="str">
        <f t="shared" ref="G49:G52" si="51">MID((HEX2BIN(B49,4)),2,1)</f>
        <v>1</v>
      </c>
      <c r="H49" s="10" t="str">
        <f t="shared" ref="H49:H52" si="52">MID((HEX2BIN(B49,4)),3,1)</f>
        <v>0</v>
      </c>
      <c r="I49" s="10" t="str">
        <f t="shared" ref="I49:I52" si="53">MID((HEX2BIN(B49,4)),4,1)</f>
        <v>1</v>
      </c>
      <c r="J49" s="10" t="str">
        <f t="shared" ref="J49:J52" si="54">MID((HEX2BIN(C49,4)),1,1)</f>
        <v>1</v>
      </c>
      <c r="K49" s="10" t="str">
        <f t="shared" ref="K49:K52" si="55">MID((HEX2BIN(C49,4)),2,1)</f>
        <v>0</v>
      </c>
      <c r="L49" s="10" t="str">
        <f t="shared" ref="L49:L52" si="56">MID((HEX2BIN(C49,4)),3,1)</f>
        <v>0</v>
      </c>
      <c r="M49" s="10" t="str">
        <f t="shared" ref="M49:M52" si="57">MID((HEX2BIN(C49,4)),4,1)</f>
        <v>0</v>
      </c>
      <c r="N49" s="10" t="str">
        <f t="shared" ref="N49:N52" si="58">MID((HEX2BIN(D49,4)),1,1)</f>
        <v>0</v>
      </c>
      <c r="O49" s="10" t="str">
        <f t="shared" ref="O49:O52" si="59">MID((HEX2BIN(D49,4)),2,1)</f>
        <v>0</v>
      </c>
      <c r="P49" s="10" t="str">
        <f t="shared" ref="P49:P52" si="60">MID((HEX2BIN(D49,4)),3,1)</f>
        <v>0</v>
      </c>
      <c r="Q49" s="10" t="str">
        <f t="shared" ref="Q49:Q52" si="61">MID((HEX2BIN(D49,4)),4,1)</f>
        <v>0</v>
      </c>
      <c r="R49" s="10" t="str">
        <f t="shared" ref="R49:R52" si="62">MID((HEX2BIN(E49,4)),1,1)</f>
        <v>0</v>
      </c>
      <c r="S49" s="10" t="str">
        <f t="shared" ref="S49:S52" si="63">MID((HEX2BIN(E49,4)),2,1)</f>
        <v>0</v>
      </c>
      <c r="T49" s="10" t="str">
        <f t="shared" ref="T49:T52" si="64">MID((HEX2BIN(E49,4)),3,1)</f>
        <v>0</v>
      </c>
      <c r="U49" s="10" t="str">
        <f t="shared" ref="U49:U52" si="65">MID((HEX2BIN(E49,4)),4,1)</f>
        <v>0</v>
      </c>
      <c r="V49" s="10" t="str">
        <f t="shared" ref="V49:V52" si="66">MID((HEX2BIN(F49,4)),1,1)</f>
        <v>0</v>
      </c>
      <c r="W49" s="10" t="str">
        <f t="shared" ref="W49:W52" si="67">MID((HEX2BIN(F49,4)),2,1)</f>
        <v>0</v>
      </c>
      <c r="X49" s="10" t="str">
        <f t="shared" ref="X49:X52" si="68">MID((HEX2BIN(F49,4)),3,1)</f>
        <v>0</v>
      </c>
      <c r="Y49" s="11" t="str">
        <f t="shared" ref="Y49:Y52" si="69">MID((HEX2BIN(F49,4)),4,1)</f>
        <v>0</v>
      </c>
      <c r="Z49" s="8">
        <v>44</v>
      </c>
      <c r="AA49" s="15" t="s">
        <v>2</v>
      </c>
      <c r="AB49" s="33">
        <v>44</v>
      </c>
      <c r="AC49" s="33" t="s">
        <v>0</v>
      </c>
      <c r="AD49" s="33">
        <v>44</v>
      </c>
      <c r="AE49" s="34" t="s">
        <v>1</v>
      </c>
    </row>
    <row r="50" spans="1:31" x14ac:dyDescent="0.25">
      <c r="A50" s="31" t="s">
        <v>75</v>
      </c>
      <c r="B50" s="29" t="str">
        <f t="shared" si="0"/>
        <v>5</v>
      </c>
      <c r="C50" s="10" t="str">
        <f t="shared" si="47"/>
        <v>A</v>
      </c>
      <c r="D50" s="10" t="str">
        <f t="shared" si="48"/>
        <v>0</v>
      </c>
      <c r="E50" s="10" t="str">
        <f t="shared" si="49"/>
        <v>0</v>
      </c>
      <c r="F50" s="11" t="str">
        <f t="shared" si="50"/>
        <v>0</v>
      </c>
      <c r="G50" s="9" t="str">
        <f t="shared" si="51"/>
        <v>1</v>
      </c>
      <c r="H50" s="10" t="str">
        <f t="shared" si="52"/>
        <v>0</v>
      </c>
      <c r="I50" s="10" t="str">
        <f t="shared" si="53"/>
        <v>1</v>
      </c>
      <c r="J50" s="10" t="str">
        <f t="shared" si="54"/>
        <v>1</v>
      </c>
      <c r="K50" s="10" t="str">
        <f t="shared" si="55"/>
        <v>0</v>
      </c>
      <c r="L50" s="10" t="str">
        <f t="shared" si="56"/>
        <v>1</v>
      </c>
      <c r="M50" s="10" t="str">
        <f t="shared" si="57"/>
        <v>0</v>
      </c>
      <c r="N50" s="10" t="str">
        <f t="shared" si="58"/>
        <v>0</v>
      </c>
      <c r="O50" s="10" t="str">
        <f t="shared" si="59"/>
        <v>0</v>
      </c>
      <c r="P50" s="10" t="str">
        <f t="shared" si="60"/>
        <v>0</v>
      </c>
      <c r="Q50" s="10" t="str">
        <f t="shared" si="61"/>
        <v>0</v>
      </c>
      <c r="R50" s="10" t="str">
        <f t="shared" si="62"/>
        <v>0</v>
      </c>
      <c r="S50" s="10" t="str">
        <f t="shared" si="63"/>
        <v>0</v>
      </c>
      <c r="T50" s="10" t="str">
        <f t="shared" si="64"/>
        <v>0</v>
      </c>
      <c r="U50" s="10" t="str">
        <f t="shared" si="65"/>
        <v>0</v>
      </c>
      <c r="V50" s="10" t="str">
        <f t="shared" si="66"/>
        <v>0</v>
      </c>
      <c r="W50" s="10" t="str">
        <f t="shared" si="67"/>
        <v>0</v>
      </c>
      <c r="X50" s="10" t="str">
        <f t="shared" si="68"/>
        <v>0</v>
      </c>
      <c r="Y50" s="11" t="str">
        <f t="shared" si="69"/>
        <v>0</v>
      </c>
      <c r="Z50" s="8">
        <v>45</v>
      </c>
      <c r="AA50" s="15" t="s">
        <v>2</v>
      </c>
      <c r="AB50" s="33"/>
      <c r="AC50" s="33"/>
      <c r="AD50" s="33"/>
      <c r="AE50" s="34"/>
    </row>
    <row r="51" spans="1:31" x14ac:dyDescent="0.25">
      <c r="A51" s="31" t="s">
        <v>76</v>
      </c>
      <c r="B51" s="29" t="str">
        <f t="shared" si="0"/>
        <v>5</v>
      </c>
      <c r="C51" s="10" t="str">
        <f t="shared" si="47"/>
        <v>C</v>
      </c>
      <c r="D51" s="10" t="str">
        <f t="shared" si="48"/>
        <v>0</v>
      </c>
      <c r="E51" s="10" t="str">
        <f t="shared" si="49"/>
        <v>0</v>
      </c>
      <c r="F51" s="11" t="str">
        <f t="shared" si="50"/>
        <v>0</v>
      </c>
      <c r="G51" s="9" t="str">
        <f t="shared" si="51"/>
        <v>1</v>
      </c>
      <c r="H51" s="10" t="str">
        <f t="shared" si="52"/>
        <v>0</v>
      </c>
      <c r="I51" s="10" t="str">
        <f t="shared" si="53"/>
        <v>1</v>
      </c>
      <c r="J51" s="10" t="str">
        <f t="shared" si="54"/>
        <v>1</v>
      </c>
      <c r="K51" s="10" t="str">
        <f t="shared" si="55"/>
        <v>1</v>
      </c>
      <c r="L51" s="10" t="str">
        <f t="shared" si="56"/>
        <v>0</v>
      </c>
      <c r="M51" s="10" t="str">
        <f t="shared" si="57"/>
        <v>0</v>
      </c>
      <c r="N51" s="10" t="str">
        <f t="shared" si="58"/>
        <v>0</v>
      </c>
      <c r="O51" s="10" t="str">
        <f t="shared" si="59"/>
        <v>0</v>
      </c>
      <c r="P51" s="10" t="str">
        <f t="shared" si="60"/>
        <v>0</v>
      </c>
      <c r="Q51" s="10" t="str">
        <f t="shared" si="61"/>
        <v>0</v>
      </c>
      <c r="R51" s="10" t="str">
        <f t="shared" si="62"/>
        <v>0</v>
      </c>
      <c r="S51" s="10" t="str">
        <f t="shared" si="63"/>
        <v>0</v>
      </c>
      <c r="T51" s="10" t="str">
        <f t="shared" si="64"/>
        <v>0</v>
      </c>
      <c r="U51" s="10" t="str">
        <f t="shared" si="65"/>
        <v>0</v>
      </c>
      <c r="V51" s="10" t="str">
        <f t="shared" si="66"/>
        <v>0</v>
      </c>
      <c r="W51" s="10" t="str">
        <f t="shared" si="67"/>
        <v>0</v>
      </c>
      <c r="X51" s="10" t="str">
        <f t="shared" si="68"/>
        <v>0</v>
      </c>
      <c r="Y51" s="11" t="str">
        <f t="shared" si="69"/>
        <v>0</v>
      </c>
      <c r="Z51" s="8">
        <v>46</v>
      </c>
      <c r="AA51" s="15" t="s">
        <v>2</v>
      </c>
      <c r="AB51" s="33">
        <v>46</v>
      </c>
      <c r="AC51" s="33" t="s">
        <v>0</v>
      </c>
      <c r="AD51" s="33"/>
      <c r="AE51" s="34"/>
    </row>
    <row r="52" spans="1:31" x14ac:dyDescent="0.25">
      <c r="A52" s="31" t="s">
        <v>77</v>
      </c>
      <c r="B52" s="29" t="str">
        <f t="shared" si="0"/>
        <v>5</v>
      </c>
      <c r="C52" s="10" t="str">
        <f t="shared" si="47"/>
        <v>E</v>
      </c>
      <c r="D52" s="10" t="str">
        <f t="shared" si="48"/>
        <v>0</v>
      </c>
      <c r="E52" s="10" t="str">
        <f t="shared" si="49"/>
        <v>0</v>
      </c>
      <c r="F52" s="11" t="str">
        <f t="shared" si="50"/>
        <v>0</v>
      </c>
      <c r="G52" s="9" t="str">
        <f t="shared" si="51"/>
        <v>1</v>
      </c>
      <c r="H52" s="10" t="str">
        <f t="shared" si="52"/>
        <v>0</v>
      </c>
      <c r="I52" s="10" t="str">
        <f t="shared" si="53"/>
        <v>1</v>
      </c>
      <c r="J52" s="10" t="str">
        <f t="shared" si="54"/>
        <v>1</v>
      </c>
      <c r="K52" s="10" t="str">
        <f t="shared" si="55"/>
        <v>1</v>
      </c>
      <c r="L52" s="10" t="str">
        <f t="shared" si="56"/>
        <v>1</v>
      </c>
      <c r="M52" s="10" t="str">
        <f t="shared" si="57"/>
        <v>0</v>
      </c>
      <c r="N52" s="10" t="str">
        <f t="shared" si="58"/>
        <v>0</v>
      </c>
      <c r="O52" s="10" t="str">
        <f t="shared" si="59"/>
        <v>0</v>
      </c>
      <c r="P52" s="10" t="str">
        <f t="shared" si="60"/>
        <v>0</v>
      </c>
      <c r="Q52" s="10" t="str">
        <f t="shared" si="61"/>
        <v>0</v>
      </c>
      <c r="R52" s="10" t="str">
        <f t="shared" si="62"/>
        <v>0</v>
      </c>
      <c r="S52" s="10" t="str">
        <f t="shared" si="63"/>
        <v>0</v>
      </c>
      <c r="T52" s="10" t="str">
        <f t="shared" si="64"/>
        <v>0</v>
      </c>
      <c r="U52" s="10" t="str">
        <f t="shared" si="65"/>
        <v>0</v>
      </c>
      <c r="V52" s="10" t="str">
        <f t="shared" si="66"/>
        <v>0</v>
      </c>
      <c r="W52" s="10" t="str">
        <f t="shared" si="67"/>
        <v>0</v>
      </c>
      <c r="X52" s="10" t="str">
        <f t="shared" si="68"/>
        <v>0</v>
      </c>
      <c r="Y52" s="11" t="str">
        <f t="shared" si="69"/>
        <v>0</v>
      </c>
      <c r="Z52" s="8">
        <v>47</v>
      </c>
      <c r="AA52" s="15" t="s">
        <v>2</v>
      </c>
      <c r="AB52" s="33"/>
      <c r="AC52" s="33"/>
      <c r="AD52" s="33"/>
      <c r="AE52" s="34"/>
    </row>
    <row r="53" spans="1:31" x14ac:dyDescent="0.25">
      <c r="A53" s="31" t="s">
        <v>72</v>
      </c>
      <c r="B53" s="29" t="str">
        <f t="shared" si="0"/>
        <v>6</v>
      </c>
      <c r="C53" s="10" t="str">
        <f t="shared" ref="C53:C56" si="70">IFERROR((MID(A53,(LEN(A53)-3),1)),0)</f>
        <v>0</v>
      </c>
      <c r="D53" s="10" t="str">
        <f t="shared" ref="D53:D56" si="71">IFERROR((MID(A53,(LEN(A53)-2),1)),0)</f>
        <v>0</v>
      </c>
      <c r="E53" s="10" t="str">
        <f t="shared" ref="E53:E56" si="72">IFERROR((MID(A53,(LEN(A53)-1),1)),0)</f>
        <v>0</v>
      </c>
      <c r="F53" s="11" t="str">
        <f t="shared" ref="F53:F56" si="73">IFERROR((MID(A53,(LEN(A53)),1)),0)</f>
        <v>0</v>
      </c>
      <c r="G53" s="9" t="str">
        <f t="shared" ref="G53:G56" si="74">MID((HEX2BIN(B53,4)),2,1)</f>
        <v>1</v>
      </c>
      <c r="H53" s="10" t="str">
        <f t="shared" ref="H53:H56" si="75">MID((HEX2BIN(B53,4)),3,1)</f>
        <v>1</v>
      </c>
      <c r="I53" s="10" t="str">
        <f t="shared" ref="I53:I56" si="76">MID((HEX2BIN(B53,4)),4,1)</f>
        <v>0</v>
      </c>
      <c r="J53" s="10" t="str">
        <f t="shared" ref="J53:J56" si="77">MID((HEX2BIN(C53,4)),1,1)</f>
        <v>0</v>
      </c>
      <c r="K53" s="10" t="str">
        <f t="shared" ref="K53:K56" si="78">MID((HEX2BIN(C53,4)),2,1)</f>
        <v>0</v>
      </c>
      <c r="L53" s="10" t="str">
        <f t="shared" ref="L53:L56" si="79">MID((HEX2BIN(C53,4)),3,1)</f>
        <v>0</v>
      </c>
      <c r="M53" s="10" t="str">
        <f t="shared" ref="M53:M56" si="80">MID((HEX2BIN(C53,4)),4,1)</f>
        <v>0</v>
      </c>
      <c r="N53" s="10" t="str">
        <f t="shared" ref="N53:N56" si="81">MID((HEX2BIN(D53,4)),1,1)</f>
        <v>0</v>
      </c>
      <c r="O53" s="10" t="str">
        <f t="shared" ref="O53:O56" si="82">MID((HEX2BIN(D53,4)),2,1)</f>
        <v>0</v>
      </c>
      <c r="P53" s="10" t="str">
        <f t="shared" ref="P53:P56" si="83">MID((HEX2BIN(D53,4)),3,1)</f>
        <v>0</v>
      </c>
      <c r="Q53" s="10" t="str">
        <f t="shared" ref="Q53:Q56" si="84">MID((HEX2BIN(D53,4)),4,1)</f>
        <v>0</v>
      </c>
      <c r="R53" s="10" t="str">
        <f t="shared" ref="R53:R56" si="85">MID((HEX2BIN(E53,4)),1,1)</f>
        <v>0</v>
      </c>
      <c r="S53" s="10" t="str">
        <f t="shared" ref="S53:S56" si="86">MID((HEX2BIN(E53,4)),2,1)</f>
        <v>0</v>
      </c>
      <c r="T53" s="10" t="str">
        <f t="shared" ref="T53:T56" si="87">MID((HEX2BIN(E53,4)),3,1)</f>
        <v>0</v>
      </c>
      <c r="U53" s="10" t="str">
        <f t="shared" ref="U53:U56" si="88">MID((HEX2BIN(E53,4)),4,1)</f>
        <v>0</v>
      </c>
      <c r="V53" s="10" t="str">
        <f t="shared" ref="V53:V56" si="89">MID((HEX2BIN(F53,4)),1,1)</f>
        <v>0</v>
      </c>
      <c r="W53" s="10" t="str">
        <f t="shared" ref="W53:W56" si="90">MID((HEX2BIN(F53,4)),2,1)</f>
        <v>0</v>
      </c>
      <c r="X53" s="10" t="str">
        <f t="shared" ref="X53:X56" si="91">MID((HEX2BIN(F53,4)),3,1)</f>
        <v>0</v>
      </c>
      <c r="Y53" s="11" t="str">
        <f t="shared" ref="Y53:Y56" si="92">MID((HEX2BIN(F53,4)),4,1)</f>
        <v>0</v>
      </c>
      <c r="Z53" s="8">
        <v>48</v>
      </c>
      <c r="AA53" s="15" t="s">
        <v>2</v>
      </c>
      <c r="AB53" s="33">
        <v>48</v>
      </c>
      <c r="AC53" s="33" t="s">
        <v>0</v>
      </c>
      <c r="AD53" s="33">
        <v>48</v>
      </c>
      <c r="AE53" s="34" t="s">
        <v>1</v>
      </c>
    </row>
    <row r="54" spans="1:31" x14ac:dyDescent="0.25">
      <c r="A54" s="31" t="s">
        <v>73</v>
      </c>
      <c r="B54" s="29" t="str">
        <f t="shared" si="0"/>
        <v>6</v>
      </c>
      <c r="C54" s="10" t="str">
        <f t="shared" si="70"/>
        <v>2</v>
      </c>
      <c r="D54" s="10" t="str">
        <f t="shared" si="71"/>
        <v>0</v>
      </c>
      <c r="E54" s="10" t="str">
        <f t="shared" si="72"/>
        <v>0</v>
      </c>
      <c r="F54" s="11" t="str">
        <f t="shared" si="73"/>
        <v>0</v>
      </c>
      <c r="G54" s="9" t="str">
        <f t="shared" si="74"/>
        <v>1</v>
      </c>
      <c r="H54" s="10" t="str">
        <f t="shared" si="75"/>
        <v>1</v>
      </c>
      <c r="I54" s="10" t="str">
        <f t="shared" si="76"/>
        <v>0</v>
      </c>
      <c r="J54" s="10" t="str">
        <f t="shared" si="77"/>
        <v>0</v>
      </c>
      <c r="K54" s="10" t="str">
        <f t="shared" si="78"/>
        <v>0</v>
      </c>
      <c r="L54" s="10" t="str">
        <f t="shared" si="79"/>
        <v>1</v>
      </c>
      <c r="M54" s="10" t="str">
        <f t="shared" si="80"/>
        <v>0</v>
      </c>
      <c r="N54" s="10" t="str">
        <f t="shared" si="81"/>
        <v>0</v>
      </c>
      <c r="O54" s="10" t="str">
        <f t="shared" si="82"/>
        <v>0</v>
      </c>
      <c r="P54" s="10" t="str">
        <f t="shared" si="83"/>
        <v>0</v>
      </c>
      <c r="Q54" s="10" t="str">
        <f t="shared" si="84"/>
        <v>0</v>
      </c>
      <c r="R54" s="10" t="str">
        <f t="shared" si="85"/>
        <v>0</v>
      </c>
      <c r="S54" s="10" t="str">
        <f t="shared" si="86"/>
        <v>0</v>
      </c>
      <c r="T54" s="10" t="str">
        <f t="shared" si="87"/>
        <v>0</v>
      </c>
      <c r="U54" s="10" t="str">
        <f t="shared" si="88"/>
        <v>0</v>
      </c>
      <c r="V54" s="10" t="str">
        <f t="shared" si="89"/>
        <v>0</v>
      </c>
      <c r="W54" s="10" t="str">
        <f t="shared" si="90"/>
        <v>0</v>
      </c>
      <c r="X54" s="10" t="str">
        <f t="shared" si="91"/>
        <v>0</v>
      </c>
      <c r="Y54" s="11" t="str">
        <f t="shared" si="92"/>
        <v>0</v>
      </c>
      <c r="Z54" s="8">
        <v>49</v>
      </c>
      <c r="AA54" s="15" t="s">
        <v>2</v>
      </c>
      <c r="AB54" s="33"/>
      <c r="AC54" s="33"/>
      <c r="AD54" s="33"/>
      <c r="AE54" s="34"/>
    </row>
    <row r="55" spans="1:31" x14ac:dyDescent="0.25">
      <c r="A55" s="31" t="s">
        <v>74</v>
      </c>
      <c r="B55" s="29" t="str">
        <f t="shared" si="0"/>
        <v>6</v>
      </c>
      <c r="C55" s="10" t="str">
        <f t="shared" si="70"/>
        <v>4</v>
      </c>
      <c r="D55" s="10" t="str">
        <f t="shared" si="71"/>
        <v>0</v>
      </c>
      <c r="E55" s="10" t="str">
        <f t="shared" si="72"/>
        <v>0</v>
      </c>
      <c r="F55" s="11" t="str">
        <f t="shared" si="73"/>
        <v>0</v>
      </c>
      <c r="G55" s="9" t="str">
        <f t="shared" si="74"/>
        <v>1</v>
      </c>
      <c r="H55" s="10" t="str">
        <f t="shared" si="75"/>
        <v>1</v>
      </c>
      <c r="I55" s="10" t="str">
        <f t="shared" si="76"/>
        <v>0</v>
      </c>
      <c r="J55" s="10" t="str">
        <f t="shared" si="77"/>
        <v>0</v>
      </c>
      <c r="K55" s="10" t="str">
        <f t="shared" si="78"/>
        <v>1</v>
      </c>
      <c r="L55" s="10" t="str">
        <f t="shared" si="79"/>
        <v>0</v>
      </c>
      <c r="M55" s="10" t="str">
        <f t="shared" si="80"/>
        <v>0</v>
      </c>
      <c r="N55" s="10" t="str">
        <f t="shared" si="81"/>
        <v>0</v>
      </c>
      <c r="O55" s="10" t="str">
        <f t="shared" si="82"/>
        <v>0</v>
      </c>
      <c r="P55" s="10" t="str">
        <f t="shared" si="83"/>
        <v>0</v>
      </c>
      <c r="Q55" s="10" t="str">
        <f t="shared" si="84"/>
        <v>0</v>
      </c>
      <c r="R55" s="10" t="str">
        <f t="shared" si="85"/>
        <v>0</v>
      </c>
      <c r="S55" s="10" t="str">
        <f t="shared" si="86"/>
        <v>0</v>
      </c>
      <c r="T55" s="10" t="str">
        <f t="shared" si="87"/>
        <v>0</v>
      </c>
      <c r="U55" s="10" t="str">
        <f t="shared" si="88"/>
        <v>0</v>
      </c>
      <c r="V55" s="10" t="str">
        <f t="shared" si="89"/>
        <v>0</v>
      </c>
      <c r="W55" s="10" t="str">
        <f t="shared" si="90"/>
        <v>0</v>
      </c>
      <c r="X55" s="10" t="str">
        <f t="shared" si="91"/>
        <v>0</v>
      </c>
      <c r="Y55" s="11" t="str">
        <f t="shared" si="92"/>
        <v>0</v>
      </c>
      <c r="Z55" s="8">
        <v>50</v>
      </c>
      <c r="AA55" s="15" t="s">
        <v>2</v>
      </c>
      <c r="AB55" s="33">
        <v>50</v>
      </c>
      <c r="AC55" s="33" t="s">
        <v>0</v>
      </c>
      <c r="AD55" s="33"/>
      <c r="AE55" s="34"/>
    </row>
    <row r="56" spans="1:31" x14ac:dyDescent="0.25">
      <c r="A56" s="31" t="s">
        <v>78</v>
      </c>
      <c r="B56" s="29" t="str">
        <f t="shared" si="0"/>
        <v>6</v>
      </c>
      <c r="C56" s="10" t="str">
        <f t="shared" si="70"/>
        <v>6</v>
      </c>
      <c r="D56" s="10" t="str">
        <f t="shared" si="71"/>
        <v>0</v>
      </c>
      <c r="E56" s="10" t="str">
        <f t="shared" si="72"/>
        <v>0</v>
      </c>
      <c r="F56" s="11" t="str">
        <f t="shared" si="73"/>
        <v>0</v>
      </c>
      <c r="G56" s="9" t="str">
        <f t="shared" si="74"/>
        <v>1</v>
      </c>
      <c r="H56" s="10" t="str">
        <f t="shared" si="75"/>
        <v>1</v>
      </c>
      <c r="I56" s="10" t="str">
        <f t="shared" si="76"/>
        <v>0</v>
      </c>
      <c r="J56" s="10" t="str">
        <f t="shared" si="77"/>
        <v>0</v>
      </c>
      <c r="K56" s="10" t="str">
        <f t="shared" si="78"/>
        <v>1</v>
      </c>
      <c r="L56" s="10" t="str">
        <f t="shared" si="79"/>
        <v>1</v>
      </c>
      <c r="M56" s="10" t="str">
        <f t="shared" si="80"/>
        <v>0</v>
      </c>
      <c r="N56" s="10" t="str">
        <f t="shared" si="81"/>
        <v>0</v>
      </c>
      <c r="O56" s="10" t="str">
        <f t="shared" si="82"/>
        <v>0</v>
      </c>
      <c r="P56" s="10" t="str">
        <f t="shared" si="83"/>
        <v>0</v>
      </c>
      <c r="Q56" s="10" t="str">
        <f t="shared" si="84"/>
        <v>0</v>
      </c>
      <c r="R56" s="10" t="str">
        <f t="shared" si="85"/>
        <v>0</v>
      </c>
      <c r="S56" s="10" t="str">
        <f t="shared" si="86"/>
        <v>0</v>
      </c>
      <c r="T56" s="10" t="str">
        <f t="shared" si="87"/>
        <v>0</v>
      </c>
      <c r="U56" s="10" t="str">
        <f t="shared" si="88"/>
        <v>0</v>
      </c>
      <c r="V56" s="10" t="str">
        <f t="shared" si="89"/>
        <v>0</v>
      </c>
      <c r="W56" s="10" t="str">
        <f t="shared" si="90"/>
        <v>0</v>
      </c>
      <c r="X56" s="10" t="str">
        <f t="shared" si="91"/>
        <v>0</v>
      </c>
      <c r="Y56" s="11" t="str">
        <f t="shared" si="92"/>
        <v>0</v>
      </c>
      <c r="Z56" s="8">
        <v>51</v>
      </c>
      <c r="AA56" s="15" t="s">
        <v>2</v>
      </c>
      <c r="AB56" s="33"/>
      <c r="AC56" s="33"/>
      <c r="AD56" s="33"/>
      <c r="AE56" s="34"/>
    </row>
    <row r="57" spans="1:31" x14ac:dyDescent="0.25">
      <c r="A57" s="31" t="s">
        <v>79</v>
      </c>
      <c r="B57" s="29" t="str">
        <f t="shared" si="0"/>
        <v>6</v>
      </c>
      <c r="C57" s="10" t="str">
        <f t="shared" ref="C57:C60" si="93">IFERROR((MID(A57,(LEN(A57)-3),1)),0)</f>
        <v>8</v>
      </c>
      <c r="D57" s="10" t="str">
        <f t="shared" ref="D57:D60" si="94">IFERROR((MID(A57,(LEN(A57)-2),1)),0)</f>
        <v>0</v>
      </c>
      <c r="E57" s="10" t="str">
        <f t="shared" ref="E57:E60" si="95">IFERROR((MID(A57,(LEN(A57)-1),1)),0)</f>
        <v>0</v>
      </c>
      <c r="F57" s="11" t="str">
        <f t="shared" ref="F57:F60" si="96">IFERROR((MID(A57,(LEN(A57)),1)),0)</f>
        <v>0</v>
      </c>
      <c r="G57" s="9" t="str">
        <f t="shared" ref="G57:G60" si="97">MID((HEX2BIN(B57,4)),2,1)</f>
        <v>1</v>
      </c>
      <c r="H57" s="10" t="str">
        <f t="shared" ref="H57:H60" si="98">MID((HEX2BIN(B57,4)),3,1)</f>
        <v>1</v>
      </c>
      <c r="I57" s="10" t="str">
        <f t="shared" ref="I57:I60" si="99">MID((HEX2BIN(B57,4)),4,1)</f>
        <v>0</v>
      </c>
      <c r="J57" s="10" t="str">
        <f t="shared" ref="J57:J60" si="100">MID((HEX2BIN(C57,4)),1,1)</f>
        <v>1</v>
      </c>
      <c r="K57" s="10" t="str">
        <f t="shared" ref="K57:K60" si="101">MID((HEX2BIN(C57,4)),2,1)</f>
        <v>0</v>
      </c>
      <c r="L57" s="10" t="str">
        <f t="shared" ref="L57:L60" si="102">MID((HEX2BIN(C57,4)),3,1)</f>
        <v>0</v>
      </c>
      <c r="M57" s="10" t="str">
        <f t="shared" ref="M57:M60" si="103">MID((HEX2BIN(C57,4)),4,1)</f>
        <v>0</v>
      </c>
      <c r="N57" s="10" t="str">
        <f t="shared" ref="N57:N60" si="104">MID((HEX2BIN(D57,4)),1,1)</f>
        <v>0</v>
      </c>
      <c r="O57" s="10" t="str">
        <f t="shared" ref="O57:O60" si="105">MID((HEX2BIN(D57,4)),2,1)</f>
        <v>0</v>
      </c>
      <c r="P57" s="10" t="str">
        <f t="shared" ref="P57:P60" si="106">MID((HEX2BIN(D57,4)),3,1)</f>
        <v>0</v>
      </c>
      <c r="Q57" s="10" t="str">
        <f t="shared" ref="Q57:Q60" si="107">MID((HEX2BIN(D57,4)),4,1)</f>
        <v>0</v>
      </c>
      <c r="R57" s="10" t="str">
        <f t="shared" ref="R57:R60" si="108">MID((HEX2BIN(E57,4)),1,1)</f>
        <v>0</v>
      </c>
      <c r="S57" s="10" t="str">
        <f t="shared" ref="S57:S60" si="109">MID((HEX2BIN(E57,4)),2,1)</f>
        <v>0</v>
      </c>
      <c r="T57" s="10" t="str">
        <f t="shared" ref="T57:T60" si="110">MID((HEX2BIN(E57,4)),3,1)</f>
        <v>0</v>
      </c>
      <c r="U57" s="10" t="str">
        <f t="shared" ref="U57:U60" si="111">MID((HEX2BIN(E57,4)),4,1)</f>
        <v>0</v>
      </c>
      <c r="V57" s="10" t="str">
        <f t="shared" ref="V57:V60" si="112">MID((HEX2BIN(F57,4)),1,1)</f>
        <v>0</v>
      </c>
      <c r="W57" s="10" t="str">
        <f t="shared" ref="W57:W60" si="113">MID((HEX2BIN(F57,4)),2,1)</f>
        <v>0</v>
      </c>
      <c r="X57" s="10" t="str">
        <f t="shared" ref="X57:X60" si="114">MID((HEX2BIN(F57,4)),3,1)</f>
        <v>0</v>
      </c>
      <c r="Y57" s="11" t="str">
        <f t="shared" ref="Y57:Y60" si="115">MID((HEX2BIN(F57,4)),4,1)</f>
        <v>0</v>
      </c>
      <c r="Z57" s="8">
        <v>52</v>
      </c>
      <c r="AA57" s="15" t="s">
        <v>2</v>
      </c>
      <c r="AB57" s="33">
        <v>52</v>
      </c>
      <c r="AC57" s="33" t="s">
        <v>0</v>
      </c>
      <c r="AD57" s="33">
        <v>52</v>
      </c>
      <c r="AE57" s="34" t="s">
        <v>1</v>
      </c>
    </row>
    <row r="58" spans="1:31" x14ac:dyDescent="0.25">
      <c r="A58" s="31" t="s">
        <v>83</v>
      </c>
      <c r="B58" s="29" t="str">
        <f t="shared" si="0"/>
        <v>6</v>
      </c>
      <c r="C58" s="10" t="str">
        <f t="shared" si="93"/>
        <v>A</v>
      </c>
      <c r="D58" s="10" t="str">
        <f t="shared" si="94"/>
        <v>0</v>
      </c>
      <c r="E58" s="10" t="str">
        <f t="shared" si="95"/>
        <v>0</v>
      </c>
      <c r="F58" s="11" t="str">
        <f t="shared" si="96"/>
        <v>0</v>
      </c>
      <c r="G58" s="9" t="str">
        <f t="shared" si="97"/>
        <v>1</v>
      </c>
      <c r="H58" s="10" t="str">
        <f t="shared" si="98"/>
        <v>1</v>
      </c>
      <c r="I58" s="10" t="str">
        <f t="shared" si="99"/>
        <v>0</v>
      </c>
      <c r="J58" s="10" t="str">
        <f t="shared" si="100"/>
        <v>1</v>
      </c>
      <c r="K58" s="10" t="str">
        <f t="shared" si="101"/>
        <v>0</v>
      </c>
      <c r="L58" s="10" t="str">
        <f t="shared" si="102"/>
        <v>1</v>
      </c>
      <c r="M58" s="10" t="str">
        <f t="shared" si="103"/>
        <v>0</v>
      </c>
      <c r="N58" s="10" t="str">
        <f t="shared" si="104"/>
        <v>0</v>
      </c>
      <c r="O58" s="10" t="str">
        <f t="shared" si="105"/>
        <v>0</v>
      </c>
      <c r="P58" s="10" t="str">
        <f t="shared" si="106"/>
        <v>0</v>
      </c>
      <c r="Q58" s="10" t="str">
        <f t="shared" si="107"/>
        <v>0</v>
      </c>
      <c r="R58" s="10" t="str">
        <f t="shared" si="108"/>
        <v>0</v>
      </c>
      <c r="S58" s="10" t="str">
        <f t="shared" si="109"/>
        <v>0</v>
      </c>
      <c r="T58" s="10" t="str">
        <f t="shared" si="110"/>
        <v>0</v>
      </c>
      <c r="U58" s="10" t="str">
        <f t="shared" si="111"/>
        <v>0</v>
      </c>
      <c r="V58" s="10" t="str">
        <f t="shared" si="112"/>
        <v>0</v>
      </c>
      <c r="W58" s="10" t="str">
        <f t="shared" si="113"/>
        <v>0</v>
      </c>
      <c r="X58" s="10" t="str">
        <f t="shared" si="114"/>
        <v>0</v>
      </c>
      <c r="Y58" s="11" t="str">
        <f t="shared" si="115"/>
        <v>0</v>
      </c>
      <c r="Z58" s="8">
        <v>53</v>
      </c>
      <c r="AA58" s="15" t="s">
        <v>2</v>
      </c>
      <c r="AB58" s="33"/>
      <c r="AC58" s="33"/>
      <c r="AD58" s="33"/>
      <c r="AE58" s="34"/>
    </row>
    <row r="59" spans="1:31" x14ac:dyDescent="0.25">
      <c r="A59" s="31" t="s">
        <v>84</v>
      </c>
      <c r="B59" s="29" t="str">
        <f t="shared" si="0"/>
        <v>6</v>
      </c>
      <c r="C59" s="10" t="str">
        <f t="shared" si="93"/>
        <v>C</v>
      </c>
      <c r="D59" s="10" t="str">
        <f t="shared" si="94"/>
        <v>0</v>
      </c>
      <c r="E59" s="10" t="str">
        <f t="shared" si="95"/>
        <v>0</v>
      </c>
      <c r="F59" s="11" t="str">
        <f t="shared" si="96"/>
        <v>0</v>
      </c>
      <c r="G59" s="9" t="str">
        <f t="shared" si="97"/>
        <v>1</v>
      </c>
      <c r="H59" s="10" t="str">
        <f t="shared" si="98"/>
        <v>1</v>
      </c>
      <c r="I59" s="10" t="str">
        <f t="shared" si="99"/>
        <v>0</v>
      </c>
      <c r="J59" s="10" t="str">
        <f t="shared" si="100"/>
        <v>1</v>
      </c>
      <c r="K59" s="10" t="str">
        <f t="shared" si="101"/>
        <v>1</v>
      </c>
      <c r="L59" s="10" t="str">
        <f t="shared" si="102"/>
        <v>0</v>
      </c>
      <c r="M59" s="10" t="str">
        <f t="shared" si="103"/>
        <v>0</v>
      </c>
      <c r="N59" s="10" t="str">
        <f t="shared" si="104"/>
        <v>0</v>
      </c>
      <c r="O59" s="10" t="str">
        <f t="shared" si="105"/>
        <v>0</v>
      </c>
      <c r="P59" s="10" t="str">
        <f t="shared" si="106"/>
        <v>0</v>
      </c>
      <c r="Q59" s="10" t="str">
        <f t="shared" si="107"/>
        <v>0</v>
      </c>
      <c r="R59" s="10" t="str">
        <f t="shared" si="108"/>
        <v>0</v>
      </c>
      <c r="S59" s="10" t="str">
        <f t="shared" si="109"/>
        <v>0</v>
      </c>
      <c r="T59" s="10" t="str">
        <f t="shared" si="110"/>
        <v>0</v>
      </c>
      <c r="U59" s="10" t="str">
        <f t="shared" si="111"/>
        <v>0</v>
      </c>
      <c r="V59" s="10" t="str">
        <f t="shared" si="112"/>
        <v>0</v>
      </c>
      <c r="W59" s="10" t="str">
        <f t="shared" si="113"/>
        <v>0</v>
      </c>
      <c r="X59" s="10" t="str">
        <f t="shared" si="114"/>
        <v>0</v>
      </c>
      <c r="Y59" s="11" t="str">
        <f t="shared" si="115"/>
        <v>0</v>
      </c>
      <c r="Z59" s="8">
        <v>54</v>
      </c>
      <c r="AA59" s="15" t="s">
        <v>2</v>
      </c>
      <c r="AB59" s="33">
        <v>54</v>
      </c>
      <c r="AC59" s="33" t="s">
        <v>0</v>
      </c>
      <c r="AD59" s="33"/>
      <c r="AE59" s="34"/>
    </row>
    <row r="60" spans="1:31" x14ac:dyDescent="0.25">
      <c r="A60" s="31" t="s">
        <v>85</v>
      </c>
      <c r="B60" s="29" t="str">
        <f t="shared" si="0"/>
        <v>6</v>
      </c>
      <c r="C60" s="10" t="str">
        <f t="shared" si="93"/>
        <v>E</v>
      </c>
      <c r="D60" s="10" t="str">
        <f t="shared" si="94"/>
        <v>0</v>
      </c>
      <c r="E60" s="10" t="str">
        <f t="shared" si="95"/>
        <v>0</v>
      </c>
      <c r="F60" s="11" t="str">
        <f t="shared" si="96"/>
        <v>0</v>
      </c>
      <c r="G60" s="9" t="str">
        <f t="shared" si="97"/>
        <v>1</v>
      </c>
      <c r="H60" s="10" t="str">
        <f t="shared" si="98"/>
        <v>1</v>
      </c>
      <c r="I60" s="10" t="str">
        <f t="shared" si="99"/>
        <v>0</v>
      </c>
      <c r="J60" s="10" t="str">
        <f t="shared" si="100"/>
        <v>1</v>
      </c>
      <c r="K60" s="10" t="str">
        <f t="shared" si="101"/>
        <v>1</v>
      </c>
      <c r="L60" s="10" t="str">
        <f t="shared" si="102"/>
        <v>1</v>
      </c>
      <c r="M60" s="10" t="str">
        <f t="shared" si="103"/>
        <v>0</v>
      </c>
      <c r="N60" s="10" t="str">
        <f t="shared" si="104"/>
        <v>0</v>
      </c>
      <c r="O60" s="10" t="str">
        <f t="shared" si="105"/>
        <v>0</v>
      </c>
      <c r="P60" s="10" t="str">
        <f t="shared" si="106"/>
        <v>0</v>
      </c>
      <c r="Q60" s="10" t="str">
        <f t="shared" si="107"/>
        <v>0</v>
      </c>
      <c r="R60" s="10" t="str">
        <f t="shared" si="108"/>
        <v>0</v>
      </c>
      <c r="S60" s="10" t="str">
        <f t="shared" si="109"/>
        <v>0</v>
      </c>
      <c r="T60" s="10" t="str">
        <f t="shared" si="110"/>
        <v>0</v>
      </c>
      <c r="U60" s="10" t="str">
        <f t="shared" si="111"/>
        <v>0</v>
      </c>
      <c r="V60" s="10" t="str">
        <f t="shared" si="112"/>
        <v>0</v>
      </c>
      <c r="W60" s="10" t="str">
        <f t="shared" si="113"/>
        <v>0</v>
      </c>
      <c r="X60" s="10" t="str">
        <f t="shared" si="114"/>
        <v>0</v>
      </c>
      <c r="Y60" s="11" t="str">
        <f t="shared" si="115"/>
        <v>0</v>
      </c>
      <c r="Z60" s="8">
        <v>55</v>
      </c>
      <c r="AA60" s="15" t="s">
        <v>2</v>
      </c>
      <c r="AB60" s="33"/>
      <c r="AC60" s="33"/>
      <c r="AD60" s="33"/>
      <c r="AE60" s="34"/>
    </row>
    <row r="61" spans="1:31" x14ac:dyDescent="0.25">
      <c r="A61" s="31" t="s">
        <v>80</v>
      </c>
      <c r="B61" s="29" t="str">
        <f t="shared" si="0"/>
        <v>7</v>
      </c>
      <c r="C61" s="10" t="str">
        <f t="shared" ref="C61:C64" si="116">IFERROR((MID(A61,(LEN(A61)-3),1)),0)</f>
        <v>0</v>
      </c>
      <c r="D61" s="10" t="str">
        <f t="shared" ref="D61:D64" si="117">IFERROR((MID(A61,(LEN(A61)-2),1)),0)</f>
        <v>0</v>
      </c>
      <c r="E61" s="10" t="str">
        <f t="shared" ref="E61:E64" si="118">IFERROR((MID(A61,(LEN(A61)-1),1)),0)</f>
        <v>0</v>
      </c>
      <c r="F61" s="11" t="str">
        <f t="shared" ref="F61:F64" si="119">IFERROR((MID(A61,(LEN(A61)),1)),0)</f>
        <v>0</v>
      </c>
      <c r="G61" s="9" t="str">
        <f t="shared" ref="G61:G64" si="120">MID((HEX2BIN(B61,4)),2,1)</f>
        <v>1</v>
      </c>
      <c r="H61" s="10" t="str">
        <f t="shared" ref="H61:H64" si="121">MID((HEX2BIN(B61,4)),3,1)</f>
        <v>1</v>
      </c>
      <c r="I61" s="10" t="str">
        <f t="shared" ref="I61:I64" si="122">MID((HEX2BIN(B61,4)),4,1)</f>
        <v>1</v>
      </c>
      <c r="J61" s="10" t="str">
        <f t="shared" ref="J61:J64" si="123">MID((HEX2BIN(C61,4)),1,1)</f>
        <v>0</v>
      </c>
      <c r="K61" s="10" t="str">
        <f t="shared" ref="K61:K64" si="124">MID((HEX2BIN(C61,4)),2,1)</f>
        <v>0</v>
      </c>
      <c r="L61" s="10" t="str">
        <f t="shared" ref="L61:L64" si="125">MID((HEX2BIN(C61,4)),3,1)</f>
        <v>0</v>
      </c>
      <c r="M61" s="10" t="str">
        <f t="shared" ref="M61:M64" si="126">MID((HEX2BIN(C61,4)),4,1)</f>
        <v>0</v>
      </c>
      <c r="N61" s="10" t="str">
        <f t="shared" ref="N61:N64" si="127">MID((HEX2BIN(D61,4)),1,1)</f>
        <v>0</v>
      </c>
      <c r="O61" s="10" t="str">
        <f t="shared" ref="O61:O64" si="128">MID((HEX2BIN(D61,4)),2,1)</f>
        <v>0</v>
      </c>
      <c r="P61" s="10" t="str">
        <f t="shared" ref="P61:P64" si="129">MID((HEX2BIN(D61,4)),3,1)</f>
        <v>0</v>
      </c>
      <c r="Q61" s="10" t="str">
        <f t="shared" ref="Q61:Q64" si="130">MID((HEX2BIN(D61,4)),4,1)</f>
        <v>0</v>
      </c>
      <c r="R61" s="10" t="str">
        <f t="shared" ref="R61:R64" si="131">MID((HEX2BIN(E61,4)),1,1)</f>
        <v>0</v>
      </c>
      <c r="S61" s="10" t="str">
        <f t="shared" ref="S61:S64" si="132">MID((HEX2BIN(E61,4)),2,1)</f>
        <v>0</v>
      </c>
      <c r="T61" s="10" t="str">
        <f t="shared" ref="T61:T64" si="133">MID((HEX2BIN(E61,4)),3,1)</f>
        <v>0</v>
      </c>
      <c r="U61" s="10" t="str">
        <f t="shared" ref="U61:U64" si="134">MID((HEX2BIN(E61,4)),4,1)</f>
        <v>0</v>
      </c>
      <c r="V61" s="10" t="str">
        <f t="shared" ref="V61:V64" si="135">MID((HEX2BIN(F61,4)),1,1)</f>
        <v>0</v>
      </c>
      <c r="W61" s="10" t="str">
        <f t="shared" ref="W61:W64" si="136">MID((HEX2BIN(F61,4)),2,1)</f>
        <v>0</v>
      </c>
      <c r="X61" s="10" t="str">
        <f t="shared" ref="X61:X64" si="137">MID((HEX2BIN(F61,4)),3,1)</f>
        <v>0</v>
      </c>
      <c r="Y61" s="11" t="str">
        <f t="shared" ref="Y61:Y64" si="138">MID((HEX2BIN(F61,4)),4,1)</f>
        <v>0</v>
      </c>
      <c r="Z61" s="8">
        <v>56</v>
      </c>
      <c r="AA61" s="15" t="s">
        <v>2</v>
      </c>
      <c r="AB61" s="33">
        <v>56</v>
      </c>
      <c r="AC61" s="33" t="s">
        <v>0</v>
      </c>
      <c r="AD61" s="33">
        <v>56</v>
      </c>
      <c r="AE61" s="34" t="s">
        <v>1</v>
      </c>
    </row>
    <row r="62" spans="1:31" x14ac:dyDescent="0.25">
      <c r="A62" s="31" t="s">
        <v>81</v>
      </c>
      <c r="B62" s="29" t="str">
        <f t="shared" si="0"/>
        <v>7</v>
      </c>
      <c r="C62" s="10" t="str">
        <f t="shared" si="116"/>
        <v>2</v>
      </c>
      <c r="D62" s="10" t="str">
        <f t="shared" si="117"/>
        <v>0</v>
      </c>
      <c r="E62" s="10" t="str">
        <f t="shared" si="118"/>
        <v>0</v>
      </c>
      <c r="F62" s="11" t="str">
        <f t="shared" si="119"/>
        <v>0</v>
      </c>
      <c r="G62" s="9" t="str">
        <f t="shared" si="120"/>
        <v>1</v>
      </c>
      <c r="H62" s="10" t="str">
        <f t="shared" si="121"/>
        <v>1</v>
      </c>
      <c r="I62" s="10" t="str">
        <f t="shared" si="122"/>
        <v>1</v>
      </c>
      <c r="J62" s="10" t="str">
        <f t="shared" si="123"/>
        <v>0</v>
      </c>
      <c r="K62" s="10" t="str">
        <f t="shared" si="124"/>
        <v>0</v>
      </c>
      <c r="L62" s="10" t="str">
        <f t="shared" si="125"/>
        <v>1</v>
      </c>
      <c r="M62" s="10" t="str">
        <f t="shared" si="126"/>
        <v>0</v>
      </c>
      <c r="N62" s="10" t="str">
        <f t="shared" si="127"/>
        <v>0</v>
      </c>
      <c r="O62" s="10" t="str">
        <f t="shared" si="128"/>
        <v>0</v>
      </c>
      <c r="P62" s="10" t="str">
        <f t="shared" si="129"/>
        <v>0</v>
      </c>
      <c r="Q62" s="10" t="str">
        <f t="shared" si="130"/>
        <v>0</v>
      </c>
      <c r="R62" s="10" t="str">
        <f t="shared" si="131"/>
        <v>0</v>
      </c>
      <c r="S62" s="10" t="str">
        <f t="shared" si="132"/>
        <v>0</v>
      </c>
      <c r="T62" s="10" t="str">
        <f t="shared" si="133"/>
        <v>0</v>
      </c>
      <c r="U62" s="10" t="str">
        <f t="shared" si="134"/>
        <v>0</v>
      </c>
      <c r="V62" s="10" t="str">
        <f t="shared" si="135"/>
        <v>0</v>
      </c>
      <c r="W62" s="10" t="str">
        <f t="shared" si="136"/>
        <v>0</v>
      </c>
      <c r="X62" s="10" t="str">
        <f t="shared" si="137"/>
        <v>0</v>
      </c>
      <c r="Y62" s="11" t="str">
        <f t="shared" si="138"/>
        <v>0</v>
      </c>
      <c r="Z62" s="8">
        <v>57</v>
      </c>
      <c r="AA62" s="15" t="s">
        <v>2</v>
      </c>
      <c r="AB62" s="33"/>
      <c r="AC62" s="33"/>
      <c r="AD62" s="33"/>
      <c r="AE62" s="34"/>
    </row>
    <row r="63" spans="1:31" x14ac:dyDescent="0.25">
      <c r="A63" s="31" t="s">
        <v>82</v>
      </c>
      <c r="B63" s="29" t="str">
        <f t="shared" si="0"/>
        <v>7</v>
      </c>
      <c r="C63" s="10" t="str">
        <f t="shared" si="116"/>
        <v>4</v>
      </c>
      <c r="D63" s="10" t="str">
        <f t="shared" si="117"/>
        <v>0</v>
      </c>
      <c r="E63" s="10" t="str">
        <f t="shared" si="118"/>
        <v>0</v>
      </c>
      <c r="F63" s="11" t="str">
        <f t="shared" si="119"/>
        <v>0</v>
      </c>
      <c r="G63" s="9" t="str">
        <f t="shared" si="120"/>
        <v>1</v>
      </c>
      <c r="H63" s="10" t="str">
        <f t="shared" si="121"/>
        <v>1</v>
      </c>
      <c r="I63" s="10" t="str">
        <f t="shared" si="122"/>
        <v>1</v>
      </c>
      <c r="J63" s="10" t="str">
        <f t="shared" si="123"/>
        <v>0</v>
      </c>
      <c r="K63" s="10" t="str">
        <f t="shared" si="124"/>
        <v>1</v>
      </c>
      <c r="L63" s="10" t="str">
        <f t="shared" si="125"/>
        <v>0</v>
      </c>
      <c r="M63" s="10" t="str">
        <f t="shared" si="126"/>
        <v>0</v>
      </c>
      <c r="N63" s="10" t="str">
        <f t="shared" si="127"/>
        <v>0</v>
      </c>
      <c r="O63" s="10" t="str">
        <f t="shared" si="128"/>
        <v>0</v>
      </c>
      <c r="P63" s="10" t="str">
        <f t="shared" si="129"/>
        <v>0</v>
      </c>
      <c r="Q63" s="10" t="str">
        <f t="shared" si="130"/>
        <v>0</v>
      </c>
      <c r="R63" s="10" t="str">
        <f t="shared" si="131"/>
        <v>0</v>
      </c>
      <c r="S63" s="10" t="str">
        <f t="shared" si="132"/>
        <v>0</v>
      </c>
      <c r="T63" s="10" t="str">
        <f t="shared" si="133"/>
        <v>0</v>
      </c>
      <c r="U63" s="10" t="str">
        <f t="shared" si="134"/>
        <v>0</v>
      </c>
      <c r="V63" s="10" t="str">
        <f t="shared" si="135"/>
        <v>0</v>
      </c>
      <c r="W63" s="10" t="str">
        <f t="shared" si="136"/>
        <v>0</v>
      </c>
      <c r="X63" s="10" t="str">
        <f t="shared" si="137"/>
        <v>0</v>
      </c>
      <c r="Y63" s="11" t="str">
        <f t="shared" si="138"/>
        <v>0</v>
      </c>
      <c r="Z63" s="8">
        <v>58</v>
      </c>
      <c r="AA63" s="15" t="s">
        <v>2</v>
      </c>
      <c r="AB63" s="33">
        <v>58</v>
      </c>
      <c r="AC63" s="33" t="s">
        <v>0</v>
      </c>
      <c r="AD63" s="33"/>
      <c r="AE63" s="34"/>
    </row>
    <row r="64" spans="1:31" x14ac:dyDescent="0.25">
      <c r="A64" s="31" t="s">
        <v>86</v>
      </c>
      <c r="B64" s="29" t="str">
        <f t="shared" si="0"/>
        <v>7</v>
      </c>
      <c r="C64" s="10" t="str">
        <f t="shared" si="116"/>
        <v>6</v>
      </c>
      <c r="D64" s="10" t="str">
        <f t="shared" si="117"/>
        <v>0</v>
      </c>
      <c r="E64" s="10" t="str">
        <f t="shared" si="118"/>
        <v>0</v>
      </c>
      <c r="F64" s="11" t="str">
        <f t="shared" si="119"/>
        <v>0</v>
      </c>
      <c r="G64" s="9" t="str">
        <f t="shared" si="120"/>
        <v>1</v>
      </c>
      <c r="H64" s="10" t="str">
        <f t="shared" si="121"/>
        <v>1</v>
      </c>
      <c r="I64" s="10" t="str">
        <f t="shared" si="122"/>
        <v>1</v>
      </c>
      <c r="J64" s="10" t="str">
        <f t="shared" si="123"/>
        <v>0</v>
      </c>
      <c r="K64" s="10" t="str">
        <f t="shared" si="124"/>
        <v>1</v>
      </c>
      <c r="L64" s="10" t="str">
        <f t="shared" si="125"/>
        <v>1</v>
      </c>
      <c r="M64" s="10" t="str">
        <f t="shared" si="126"/>
        <v>0</v>
      </c>
      <c r="N64" s="10" t="str">
        <f t="shared" si="127"/>
        <v>0</v>
      </c>
      <c r="O64" s="10" t="str">
        <f t="shared" si="128"/>
        <v>0</v>
      </c>
      <c r="P64" s="10" t="str">
        <f t="shared" si="129"/>
        <v>0</v>
      </c>
      <c r="Q64" s="10" t="str">
        <f t="shared" si="130"/>
        <v>0</v>
      </c>
      <c r="R64" s="10" t="str">
        <f t="shared" si="131"/>
        <v>0</v>
      </c>
      <c r="S64" s="10" t="str">
        <f t="shared" si="132"/>
        <v>0</v>
      </c>
      <c r="T64" s="10" t="str">
        <f t="shared" si="133"/>
        <v>0</v>
      </c>
      <c r="U64" s="10" t="str">
        <f t="shared" si="134"/>
        <v>0</v>
      </c>
      <c r="V64" s="10" t="str">
        <f t="shared" si="135"/>
        <v>0</v>
      </c>
      <c r="W64" s="10" t="str">
        <f t="shared" si="136"/>
        <v>0</v>
      </c>
      <c r="X64" s="10" t="str">
        <f t="shared" si="137"/>
        <v>0</v>
      </c>
      <c r="Y64" s="11" t="str">
        <f t="shared" si="138"/>
        <v>0</v>
      </c>
      <c r="Z64" s="8">
        <v>59</v>
      </c>
      <c r="AA64" s="15" t="s">
        <v>2</v>
      </c>
      <c r="AB64" s="33"/>
      <c r="AC64" s="33"/>
      <c r="AD64" s="33"/>
      <c r="AE64" s="34"/>
    </row>
    <row r="65" spans="1:31" x14ac:dyDescent="0.25">
      <c r="A65" s="31" t="s">
        <v>87</v>
      </c>
      <c r="B65" s="29" t="str">
        <f t="shared" si="0"/>
        <v>7</v>
      </c>
      <c r="C65" s="10" t="str">
        <f t="shared" ref="C65:C68" si="139">IFERROR((MID(A65,(LEN(A65)-3),1)),0)</f>
        <v>8</v>
      </c>
      <c r="D65" s="10" t="str">
        <f t="shared" ref="D65:D68" si="140">IFERROR((MID(A65,(LEN(A65)-2),1)),0)</f>
        <v>0</v>
      </c>
      <c r="E65" s="10" t="str">
        <f t="shared" ref="E65:E68" si="141">IFERROR((MID(A65,(LEN(A65)-1),1)),0)</f>
        <v>0</v>
      </c>
      <c r="F65" s="11" t="str">
        <f t="shared" ref="F65:F68" si="142">IFERROR((MID(A65,(LEN(A65)),1)),0)</f>
        <v>0</v>
      </c>
      <c r="G65" s="9" t="str">
        <f t="shared" ref="G65:G68" si="143">MID((HEX2BIN(B65,4)),2,1)</f>
        <v>1</v>
      </c>
      <c r="H65" s="10" t="str">
        <f t="shared" ref="H65:H68" si="144">MID((HEX2BIN(B65,4)),3,1)</f>
        <v>1</v>
      </c>
      <c r="I65" s="10" t="str">
        <f t="shared" ref="I65:I68" si="145">MID((HEX2BIN(B65,4)),4,1)</f>
        <v>1</v>
      </c>
      <c r="J65" s="10" t="str">
        <f t="shared" ref="J65:J68" si="146">MID((HEX2BIN(C65,4)),1,1)</f>
        <v>1</v>
      </c>
      <c r="K65" s="10" t="str">
        <f t="shared" ref="K65:K68" si="147">MID((HEX2BIN(C65,4)),2,1)</f>
        <v>0</v>
      </c>
      <c r="L65" s="10" t="str">
        <f t="shared" ref="L65:L68" si="148">MID((HEX2BIN(C65,4)),3,1)</f>
        <v>0</v>
      </c>
      <c r="M65" s="10" t="str">
        <f t="shared" ref="M65:M68" si="149">MID((HEX2BIN(C65,4)),4,1)</f>
        <v>0</v>
      </c>
      <c r="N65" s="10" t="str">
        <f t="shared" ref="N65:N68" si="150">MID((HEX2BIN(D65,4)),1,1)</f>
        <v>0</v>
      </c>
      <c r="O65" s="10" t="str">
        <f t="shared" ref="O65:O68" si="151">MID((HEX2BIN(D65,4)),2,1)</f>
        <v>0</v>
      </c>
      <c r="P65" s="10" t="str">
        <f t="shared" ref="P65:P68" si="152">MID((HEX2BIN(D65,4)),3,1)</f>
        <v>0</v>
      </c>
      <c r="Q65" s="10" t="str">
        <f t="shared" ref="Q65:Q68" si="153">MID((HEX2BIN(D65,4)),4,1)</f>
        <v>0</v>
      </c>
      <c r="R65" s="10" t="str">
        <f t="shared" ref="R65:R68" si="154">MID((HEX2BIN(E65,4)),1,1)</f>
        <v>0</v>
      </c>
      <c r="S65" s="10" t="str">
        <f t="shared" ref="S65:S68" si="155">MID((HEX2BIN(E65,4)),2,1)</f>
        <v>0</v>
      </c>
      <c r="T65" s="10" t="str">
        <f t="shared" ref="T65:T68" si="156">MID((HEX2BIN(E65,4)),3,1)</f>
        <v>0</v>
      </c>
      <c r="U65" s="10" t="str">
        <f t="shared" ref="U65:U68" si="157">MID((HEX2BIN(E65,4)),4,1)</f>
        <v>0</v>
      </c>
      <c r="V65" s="10" t="str">
        <f t="shared" ref="V65:V68" si="158">MID((HEX2BIN(F65,4)),1,1)</f>
        <v>0</v>
      </c>
      <c r="W65" s="10" t="str">
        <f t="shared" ref="W65:W68" si="159">MID((HEX2BIN(F65,4)),2,1)</f>
        <v>0</v>
      </c>
      <c r="X65" s="10" t="str">
        <f t="shared" ref="X65:X68" si="160">MID((HEX2BIN(F65,4)),3,1)</f>
        <v>0</v>
      </c>
      <c r="Y65" s="11" t="str">
        <f t="shared" ref="Y65:Y68" si="161">MID((HEX2BIN(F65,4)),4,1)</f>
        <v>0</v>
      </c>
      <c r="Z65" s="8">
        <v>60</v>
      </c>
      <c r="AA65" s="15" t="s">
        <v>2</v>
      </c>
      <c r="AB65" s="33">
        <v>60</v>
      </c>
      <c r="AC65" s="33" t="s">
        <v>0</v>
      </c>
      <c r="AD65" s="33">
        <v>60</v>
      </c>
      <c r="AE65" s="34" t="s">
        <v>1</v>
      </c>
    </row>
    <row r="66" spans="1:31" x14ac:dyDescent="0.25">
      <c r="A66" s="31" t="s">
        <v>88</v>
      </c>
      <c r="B66" s="29" t="str">
        <f t="shared" si="0"/>
        <v>7</v>
      </c>
      <c r="C66" s="10" t="str">
        <f t="shared" si="139"/>
        <v>A</v>
      </c>
      <c r="D66" s="10" t="str">
        <f t="shared" si="140"/>
        <v>0</v>
      </c>
      <c r="E66" s="10" t="str">
        <f t="shared" si="141"/>
        <v>0</v>
      </c>
      <c r="F66" s="11" t="str">
        <f t="shared" si="142"/>
        <v>0</v>
      </c>
      <c r="G66" s="9" t="str">
        <f t="shared" si="143"/>
        <v>1</v>
      </c>
      <c r="H66" s="10" t="str">
        <f t="shared" si="144"/>
        <v>1</v>
      </c>
      <c r="I66" s="10" t="str">
        <f t="shared" si="145"/>
        <v>1</v>
      </c>
      <c r="J66" s="10" t="str">
        <f t="shared" si="146"/>
        <v>1</v>
      </c>
      <c r="K66" s="10" t="str">
        <f t="shared" si="147"/>
        <v>0</v>
      </c>
      <c r="L66" s="10" t="str">
        <f t="shared" si="148"/>
        <v>1</v>
      </c>
      <c r="M66" s="10" t="str">
        <f t="shared" si="149"/>
        <v>0</v>
      </c>
      <c r="N66" s="10" t="str">
        <f t="shared" si="150"/>
        <v>0</v>
      </c>
      <c r="O66" s="10" t="str">
        <f t="shared" si="151"/>
        <v>0</v>
      </c>
      <c r="P66" s="10" t="str">
        <f t="shared" si="152"/>
        <v>0</v>
      </c>
      <c r="Q66" s="10" t="str">
        <f t="shared" si="153"/>
        <v>0</v>
      </c>
      <c r="R66" s="10" t="str">
        <f t="shared" si="154"/>
        <v>0</v>
      </c>
      <c r="S66" s="10" t="str">
        <f t="shared" si="155"/>
        <v>0</v>
      </c>
      <c r="T66" s="10" t="str">
        <f t="shared" si="156"/>
        <v>0</v>
      </c>
      <c r="U66" s="10" t="str">
        <f t="shared" si="157"/>
        <v>0</v>
      </c>
      <c r="V66" s="10" t="str">
        <f t="shared" si="158"/>
        <v>0</v>
      </c>
      <c r="W66" s="10" t="str">
        <f t="shared" si="159"/>
        <v>0</v>
      </c>
      <c r="X66" s="10" t="str">
        <f t="shared" si="160"/>
        <v>0</v>
      </c>
      <c r="Y66" s="11" t="str">
        <f t="shared" si="161"/>
        <v>0</v>
      </c>
      <c r="Z66" s="8">
        <v>61</v>
      </c>
      <c r="AA66" s="15" t="s">
        <v>2</v>
      </c>
      <c r="AB66" s="33"/>
      <c r="AC66" s="33"/>
      <c r="AD66" s="33"/>
      <c r="AE66" s="34"/>
    </row>
    <row r="67" spans="1:31" x14ac:dyDescent="0.25">
      <c r="A67" s="31" t="s">
        <v>89</v>
      </c>
      <c r="B67" s="29" t="str">
        <f t="shared" si="0"/>
        <v>7</v>
      </c>
      <c r="C67" s="10" t="str">
        <f t="shared" si="139"/>
        <v>C</v>
      </c>
      <c r="D67" s="10" t="str">
        <f t="shared" si="140"/>
        <v>0</v>
      </c>
      <c r="E67" s="10" t="str">
        <f t="shared" si="141"/>
        <v>0</v>
      </c>
      <c r="F67" s="11" t="str">
        <f t="shared" si="142"/>
        <v>0</v>
      </c>
      <c r="G67" s="9" t="str">
        <f t="shared" si="143"/>
        <v>1</v>
      </c>
      <c r="H67" s="10" t="str">
        <f t="shared" si="144"/>
        <v>1</v>
      </c>
      <c r="I67" s="10" t="str">
        <f t="shared" si="145"/>
        <v>1</v>
      </c>
      <c r="J67" s="10" t="str">
        <f t="shared" si="146"/>
        <v>1</v>
      </c>
      <c r="K67" s="10" t="str">
        <f t="shared" si="147"/>
        <v>1</v>
      </c>
      <c r="L67" s="10" t="str">
        <f t="shared" si="148"/>
        <v>0</v>
      </c>
      <c r="M67" s="10" t="str">
        <f t="shared" si="149"/>
        <v>0</v>
      </c>
      <c r="N67" s="10" t="str">
        <f t="shared" si="150"/>
        <v>0</v>
      </c>
      <c r="O67" s="10" t="str">
        <f t="shared" si="151"/>
        <v>0</v>
      </c>
      <c r="P67" s="10" t="str">
        <f t="shared" si="152"/>
        <v>0</v>
      </c>
      <c r="Q67" s="10" t="str">
        <f t="shared" si="153"/>
        <v>0</v>
      </c>
      <c r="R67" s="10" t="str">
        <f t="shared" si="154"/>
        <v>0</v>
      </c>
      <c r="S67" s="10" t="str">
        <f t="shared" si="155"/>
        <v>0</v>
      </c>
      <c r="T67" s="10" t="str">
        <f t="shared" si="156"/>
        <v>0</v>
      </c>
      <c r="U67" s="10" t="str">
        <f t="shared" si="157"/>
        <v>0</v>
      </c>
      <c r="V67" s="10" t="str">
        <f t="shared" si="158"/>
        <v>0</v>
      </c>
      <c r="W67" s="10" t="str">
        <f t="shared" si="159"/>
        <v>0</v>
      </c>
      <c r="X67" s="10" t="str">
        <f t="shared" si="160"/>
        <v>0</v>
      </c>
      <c r="Y67" s="11" t="str">
        <f t="shared" si="161"/>
        <v>0</v>
      </c>
      <c r="Z67" s="8">
        <v>62</v>
      </c>
      <c r="AA67" s="15" t="s">
        <v>2</v>
      </c>
      <c r="AB67" s="33">
        <v>62</v>
      </c>
      <c r="AC67" s="33" t="s">
        <v>0</v>
      </c>
      <c r="AD67" s="33"/>
      <c r="AE67" s="34"/>
    </row>
    <row r="68" spans="1:31" ht="15.75" thickBot="1" x14ac:dyDescent="0.3">
      <c r="A68" s="32" t="s">
        <v>94</v>
      </c>
      <c r="B68" s="2" t="str">
        <f t="shared" si="0"/>
        <v>7</v>
      </c>
      <c r="C68" s="3" t="str">
        <f t="shared" si="139"/>
        <v>E</v>
      </c>
      <c r="D68" s="3" t="str">
        <f t="shared" si="140"/>
        <v>0</v>
      </c>
      <c r="E68" s="3" t="str">
        <f t="shared" si="141"/>
        <v>0</v>
      </c>
      <c r="F68" s="4" t="str">
        <f t="shared" si="142"/>
        <v>0</v>
      </c>
      <c r="G68" s="13" t="str">
        <f t="shared" si="143"/>
        <v>1</v>
      </c>
      <c r="H68" s="3" t="str">
        <f t="shared" si="144"/>
        <v>1</v>
      </c>
      <c r="I68" s="3" t="str">
        <f t="shared" si="145"/>
        <v>1</v>
      </c>
      <c r="J68" s="3" t="str">
        <f t="shared" si="146"/>
        <v>1</v>
      </c>
      <c r="K68" s="3" t="str">
        <f t="shared" si="147"/>
        <v>1</v>
      </c>
      <c r="L68" s="3" t="str">
        <f t="shared" si="148"/>
        <v>1</v>
      </c>
      <c r="M68" s="3" t="str">
        <f t="shared" si="149"/>
        <v>0</v>
      </c>
      <c r="N68" s="3" t="str">
        <f t="shared" si="150"/>
        <v>0</v>
      </c>
      <c r="O68" s="3" t="str">
        <f t="shared" si="151"/>
        <v>0</v>
      </c>
      <c r="P68" s="3" t="str">
        <f t="shared" si="152"/>
        <v>0</v>
      </c>
      <c r="Q68" s="3" t="str">
        <f t="shared" si="153"/>
        <v>0</v>
      </c>
      <c r="R68" s="3" t="str">
        <f t="shared" si="154"/>
        <v>0</v>
      </c>
      <c r="S68" s="3" t="str">
        <f t="shared" si="155"/>
        <v>0</v>
      </c>
      <c r="T68" s="3" t="str">
        <f t="shared" si="156"/>
        <v>0</v>
      </c>
      <c r="U68" s="3" t="str">
        <f t="shared" si="157"/>
        <v>0</v>
      </c>
      <c r="V68" s="3" t="str">
        <f t="shared" si="158"/>
        <v>0</v>
      </c>
      <c r="W68" s="3" t="str">
        <f t="shared" si="159"/>
        <v>0</v>
      </c>
      <c r="X68" s="3" t="str">
        <f t="shared" si="160"/>
        <v>0</v>
      </c>
      <c r="Y68" s="4" t="str">
        <f t="shared" si="161"/>
        <v>0</v>
      </c>
      <c r="Z68" s="12">
        <v>63</v>
      </c>
      <c r="AA68" s="16" t="s">
        <v>2</v>
      </c>
      <c r="AB68" s="35"/>
      <c r="AC68" s="35"/>
      <c r="AD68" s="35"/>
      <c r="AE68" s="36"/>
    </row>
    <row r="69" spans="1:31" x14ac:dyDescent="0.2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</row>
  </sheetData>
  <sheetProtection algorithmName="SHA-512" hashValue="KBoCXLeyJdyezbTnhT/o/U8SjeuJ0SY3PqhSRvPqdphqr16eH230yRA4fyDQr6+EThUyYus+kU3EkGHUk9BITg==" saltValue="CpbX/1pUCNcLjiKMVhXa9Q==" spinCount="100000" sheet="1" selectLockedCells="1"/>
  <mergeCells count="115">
    <mergeCell ref="AC25:AC26"/>
    <mergeCell ref="AE25:AE28"/>
    <mergeCell ref="AC27:AC28"/>
    <mergeCell ref="AC29:AC30"/>
    <mergeCell ref="AE29:AE32"/>
    <mergeCell ref="AC31:AC32"/>
    <mergeCell ref="AC41:AC42"/>
    <mergeCell ref="AE41:AE44"/>
    <mergeCell ref="AC43:AC44"/>
    <mergeCell ref="AC33:AC34"/>
    <mergeCell ref="AE33:AE36"/>
    <mergeCell ref="AC35:AC36"/>
    <mergeCell ref="AC37:AC38"/>
    <mergeCell ref="AE37:AE40"/>
    <mergeCell ref="AC39:AC40"/>
    <mergeCell ref="AB15:AB16"/>
    <mergeCell ref="AB17:AB18"/>
    <mergeCell ref="AB35:AB36"/>
    <mergeCell ref="AB5:AB6"/>
    <mergeCell ref="AB7:AB8"/>
    <mergeCell ref="AE9:AE12"/>
    <mergeCell ref="AE13:AE16"/>
    <mergeCell ref="B3:F3"/>
    <mergeCell ref="AC5:AC6"/>
    <mergeCell ref="AC7:AC8"/>
    <mergeCell ref="AC9:AC10"/>
    <mergeCell ref="AC11:AC12"/>
    <mergeCell ref="AC13:AC14"/>
    <mergeCell ref="AC15:AC16"/>
    <mergeCell ref="AE5:AE8"/>
    <mergeCell ref="Z3:Z4"/>
    <mergeCell ref="AA3:AA4"/>
    <mergeCell ref="AB9:AB10"/>
    <mergeCell ref="AC19:AC20"/>
    <mergeCell ref="AE17:AE20"/>
    <mergeCell ref="AC21:AC22"/>
    <mergeCell ref="AE21:AE24"/>
    <mergeCell ref="AC23:AC24"/>
    <mergeCell ref="AC17:AC18"/>
    <mergeCell ref="AB39:AB40"/>
    <mergeCell ref="AB41:AB42"/>
    <mergeCell ref="AB43:AB44"/>
    <mergeCell ref="AD5:AD8"/>
    <mergeCell ref="AD9:AD12"/>
    <mergeCell ref="AD13:AD16"/>
    <mergeCell ref="AD17:AD20"/>
    <mergeCell ref="AD21:AD24"/>
    <mergeCell ref="AD25:AD28"/>
    <mergeCell ref="AD29:AD32"/>
    <mergeCell ref="AD33:AD36"/>
    <mergeCell ref="AD37:AD40"/>
    <mergeCell ref="AD41:AD44"/>
    <mergeCell ref="AB29:AB30"/>
    <mergeCell ref="AB31:AB32"/>
    <mergeCell ref="AB33:AB34"/>
    <mergeCell ref="AB37:AB38"/>
    <mergeCell ref="AB19:AB20"/>
    <mergeCell ref="AB21:AB22"/>
    <mergeCell ref="AB23:AB24"/>
    <mergeCell ref="AB25:AB26"/>
    <mergeCell ref="AB27:AB28"/>
    <mergeCell ref="AB11:AB12"/>
    <mergeCell ref="AB13:AB14"/>
    <mergeCell ref="A3:A4"/>
    <mergeCell ref="AB1:AC1"/>
    <mergeCell ref="AD1:AE1"/>
    <mergeCell ref="AD2:AE2"/>
    <mergeCell ref="AB2:AC2"/>
    <mergeCell ref="AE3:AE4"/>
    <mergeCell ref="AB3:AB4"/>
    <mergeCell ref="AD3:AD4"/>
    <mergeCell ref="AC3:AC4"/>
    <mergeCell ref="G3:Y3"/>
    <mergeCell ref="W1:Y2"/>
    <mergeCell ref="T1:V2"/>
    <mergeCell ref="Q1:S2"/>
    <mergeCell ref="Z1:AA1"/>
    <mergeCell ref="Z2:AA2"/>
    <mergeCell ref="A1:P2"/>
    <mergeCell ref="AB49:AB50"/>
    <mergeCell ref="AC49:AC50"/>
    <mergeCell ref="AD49:AD52"/>
    <mergeCell ref="AE49:AE52"/>
    <mergeCell ref="AB51:AB52"/>
    <mergeCell ref="AC51:AC52"/>
    <mergeCell ref="AB45:AB46"/>
    <mergeCell ref="AC45:AC46"/>
    <mergeCell ref="AD45:AD48"/>
    <mergeCell ref="AE45:AE48"/>
    <mergeCell ref="AB47:AB48"/>
    <mergeCell ref="AC47:AC48"/>
    <mergeCell ref="AB65:AB66"/>
    <mergeCell ref="AC65:AC66"/>
    <mergeCell ref="AD65:AD68"/>
    <mergeCell ref="AE65:AE68"/>
    <mergeCell ref="AB67:AB68"/>
    <mergeCell ref="AC67:AC68"/>
    <mergeCell ref="AB61:AB62"/>
    <mergeCell ref="AC61:AC62"/>
    <mergeCell ref="AD61:AD64"/>
    <mergeCell ref="AE61:AE64"/>
    <mergeCell ref="AB63:AB64"/>
    <mergeCell ref="AC63:AC64"/>
    <mergeCell ref="AB57:AB58"/>
    <mergeCell ref="AC57:AC58"/>
    <mergeCell ref="AD57:AD60"/>
    <mergeCell ref="AE57:AE60"/>
    <mergeCell ref="AB59:AB60"/>
    <mergeCell ref="AC59:AC60"/>
    <mergeCell ref="AB53:AB54"/>
    <mergeCell ref="AC53:AC54"/>
    <mergeCell ref="AD53:AD56"/>
    <mergeCell ref="AE53:AE56"/>
    <mergeCell ref="AB55:AB56"/>
    <mergeCell ref="AC55:AC56"/>
  </mergeCells>
  <conditionalFormatting sqref="G5:Y68">
    <cfRule type="containsText" dxfId="1" priority="1" operator="containsText" text="0">
      <formula>NOT(ISERROR(SEARCH("0",G5)))</formula>
    </cfRule>
    <cfRule type="containsText" dxfId="0" priority="2" operator="containsText" text="1">
      <formula>NOT(ISERROR(SEARCH("1",G5)))</formula>
    </cfRule>
  </conditionalFormatting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B714AEF46F3A458568DD8D766C234C" ma:contentTypeVersion="13" ma:contentTypeDescription="Create a new document." ma:contentTypeScope="" ma:versionID="7a16e34474b467ba7df4ba36f21df2f9">
  <xsd:schema xmlns:xsd="http://www.w3.org/2001/XMLSchema" xmlns:xs="http://www.w3.org/2001/XMLSchema" xmlns:p="http://schemas.microsoft.com/office/2006/metadata/properties" xmlns:ns3="b33abc08-cb2a-4f6a-81f9-d3d456c2d87d" xmlns:ns4="f57ff165-26e1-4d74-a261-bbfa8cf79e0d" targetNamespace="http://schemas.microsoft.com/office/2006/metadata/properties" ma:root="true" ma:fieldsID="250a60377b4ac5a394d6da613b29affe" ns3:_="" ns4:_="">
    <xsd:import namespace="b33abc08-cb2a-4f6a-81f9-d3d456c2d87d"/>
    <xsd:import namespace="f57ff165-26e1-4d74-a261-bbfa8cf79e0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3abc08-cb2a-4f6a-81f9-d3d456c2d87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1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ff165-26e1-4d74-a261-bbfa8cf79e0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33abc08-cb2a-4f6a-81f9-d3d456c2d87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C416FF-BE88-4979-BB28-606CEDC4BA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33abc08-cb2a-4f6a-81f9-d3d456c2d87d"/>
    <ds:schemaRef ds:uri="f57ff165-26e1-4d74-a261-bbfa8cf79e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F8E2897-8316-4F75-86E2-02614008876F}">
  <ds:schemaRefs>
    <ds:schemaRef ds:uri="http://schemas.openxmlformats.org/package/2006/metadata/core-properties"/>
    <ds:schemaRef ds:uri="http://purl.org/dc/dcmitype/"/>
    <ds:schemaRef ds:uri="f57ff165-26e1-4d74-a261-bbfa8cf79e0d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b33abc08-cb2a-4f6a-81f9-d3d456c2d87d"/>
    <ds:schemaRef ds:uri="http://purl.org/dc/terms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B0FABB-A092-4BCB-82A8-C64F85D5645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Multirom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2023-07-25T04:06:12Z</dcterms:created>
  <dcterms:modified xsi:type="dcterms:W3CDTF">2023-09-26T12:27:09Z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0x01010071B714AEF46F3A458568DD8D766C234C</vt:lpwstr>
  </property>
</Properties>
</file>